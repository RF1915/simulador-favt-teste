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1.bin" ContentType="application/vnd.openxmlformats-officedocument.oleObject"/>
  <Override PartName="/xl/drawings/drawing10.xml" ContentType="application/vnd.openxmlformats-officedocument.drawing+xml"/>
  <Override PartName="/xl/embeddings/oleObject2.bin" ContentType="application/vnd.openxmlformats-officedocument.oleObject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368" windowHeight="9192" tabRatio="870" activeTab="1"/>
  </bookViews>
  <sheets>
    <sheet name="1_FAVT_1_Ori" sheetId="20" r:id="rId1"/>
    <sheet name="2_FAVT_2_Alt" sheetId="21" r:id="rId2"/>
    <sheet name="RESUMO" sheetId="34" r:id="rId3"/>
    <sheet name="3_AHV e MU" sheetId="24" r:id="rId4"/>
    <sheet name="3a_AH" sheetId="32" r:id="rId5"/>
    <sheet name="4_AV e MU" sheetId="28" r:id="rId6"/>
    <sheet name="5_ACob e AVer" sheetId="30" r:id="rId7"/>
    <sheet name="6_Estaciona" sheetId="33" r:id="rId8"/>
    <sheet name="x_Cálculo" sheetId="2" r:id="rId9"/>
    <sheet name="y_Cálculo" sheetId="22" r:id="rId10"/>
    <sheet name="z_Cálculo" sheetId="31" r:id="rId11"/>
    <sheet name="Factor1_H" sheetId="3" r:id="rId12"/>
    <sheet name="Factor2_Elev" sheetId="4" r:id="rId13"/>
    <sheet name="Factor3_proporção" sheetId="10" r:id="rId14"/>
    <sheet name="Factor4_Uso" sheetId="11" r:id="rId15"/>
    <sheet name="N_Vistas" sheetId="27" r:id="rId16"/>
    <sheet name="Factor5_infra" sheetId="7" r:id="rId17"/>
    <sheet name="PREÇO BAIRROS" sheetId="12" r:id="rId18"/>
    <sheet name="Folha1" sheetId="25" r:id="rId19"/>
  </sheets>
  <definedNames>
    <definedName name="_xlnm._FilterDatabase" localSheetId="17" hidden="1">'PREÇO BAIRROS'!$A$4:$Z$92</definedName>
    <definedName name="_xlnm._FilterDatabase" localSheetId="8" hidden="1">x_Cálculo!$B$1:$F$16</definedName>
    <definedName name="_xlnm._FilterDatabase" localSheetId="9" hidden="1">y_Cálculo!$B$1:$F$16</definedName>
    <definedName name="_xlnm._FilterDatabase" localSheetId="10" hidden="1">z_Cálculo!$B$1:$F$6</definedName>
    <definedName name="_xlnm.Print_Area" localSheetId="0">'1_FAVT_1_Ori'!$A$1:$C$55</definedName>
    <definedName name="_xlnm.Print_Area" localSheetId="1">'2_FAVT_2_Alt'!$A$1:$C$55</definedName>
    <definedName name="_xlnm.Print_Area" localSheetId="3">'3_AHV e MU'!$A$1:$I$27</definedName>
    <definedName name="_xlnm.Print_Area" localSheetId="4">'3a_AH'!$A$1:$I$27</definedName>
    <definedName name="_xlnm.Print_Area" localSheetId="5">'4_AV e MU'!$A$1:$I$27</definedName>
    <definedName name="_xlnm.Print_Area" localSheetId="6">'5_ACob e AVer'!$A$1:$I$27</definedName>
    <definedName name="_xlnm.Print_Area" localSheetId="7">'6_Estaciona'!$A$1:$I$27</definedName>
    <definedName name="_xlnm.Print_Area" localSheetId="2">RESUMO!$A$1:$I$34</definedName>
    <definedName name="_xlnm.Print_Area" localSheetId="8">x_Cálculo!$B$1:$E$33</definedName>
    <definedName name="_xlnm.Print_Area" localSheetId="9">y_Cálculo!$B$1:$E$33</definedName>
    <definedName name="_xlnm.Print_Area" localSheetId="10">z_Cálculo!$B$1:$E$21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2" i="20" l="1"/>
  <c r="H30" i="34" l="1"/>
  <c r="H25" i="34"/>
  <c r="H24" i="34"/>
  <c r="H19" i="28"/>
  <c r="E21" i="28" s="1"/>
  <c r="H18" i="28"/>
  <c r="J27" i="34"/>
  <c r="H22" i="34"/>
  <c r="H21" i="34"/>
  <c r="H20" i="34"/>
  <c r="I20" i="34" s="1"/>
  <c r="H19" i="34"/>
  <c r="I19" i="34" s="1"/>
  <c r="H17" i="34"/>
  <c r="D42" i="34"/>
  <c r="H16" i="34"/>
  <c r="H6" i="34"/>
  <c r="G6" i="34"/>
  <c r="H5" i="34"/>
  <c r="H4" i="34"/>
  <c r="A4" i="34"/>
  <c r="E14" i="33"/>
  <c r="H26" i="34" l="1"/>
  <c r="H18" i="34"/>
  <c r="H23" i="34"/>
  <c r="H20" i="28"/>
  <c r="H10" i="30" l="1"/>
  <c r="H9" i="30"/>
  <c r="E13" i="22"/>
  <c r="G13" i="22"/>
  <c r="G6" i="33" l="1"/>
  <c r="G6" i="30"/>
  <c r="G6" i="28"/>
  <c r="G6" i="32"/>
  <c r="G6" i="24"/>
  <c r="E15" i="33"/>
  <c r="H6" i="33" l="1"/>
  <c r="H6" i="30"/>
  <c r="H6" i="28"/>
  <c r="H6" i="32"/>
  <c r="H6" i="24"/>
  <c r="C8" i="21"/>
  <c r="J11" i="33" l="1"/>
  <c r="D9" i="33"/>
  <c r="H5" i="33"/>
  <c r="H4" i="33"/>
  <c r="A4" i="33"/>
  <c r="D23" i="32"/>
  <c r="J20" i="32"/>
  <c r="D20" i="32"/>
  <c r="H10" i="32"/>
  <c r="H9" i="32"/>
  <c r="H5" i="32"/>
  <c r="H4" i="32"/>
  <c r="A4" i="32"/>
  <c r="C2" i="31"/>
  <c r="D2" i="31" s="1"/>
  <c r="C5" i="31" s="1"/>
  <c r="E11" i="30" s="1"/>
  <c r="D9" i="30"/>
  <c r="D18" i="30" s="1"/>
  <c r="H5" i="30"/>
  <c r="H5" i="28"/>
  <c r="H5" i="24"/>
  <c r="D20" i="24"/>
  <c r="J20" i="24"/>
  <c r="J19" i="28"/>
  <c r="E16" i="31"/>
  <c r="E14" i="31"/>
  <c r="F12" i="31"/>
  <c r="G14" i="21"/>
  <c r="AE12" i="11"/>
  <c r="AE14" i="11"/>
  <c r="AE15" i="11"/>
  <c r="AE17" i="11"/>
  <c r="AE18" i="11"/>
  <c r="AE19" i="11"/>
  <c r="AE20" i="11"/>
  <c r="AE21" i="11"/>
  <c r="AE22" i="11"/>
  <c r="AE23" i="11"/>
  <c r="A43" i="21"/>
  <c r="B14" i="21"/>
  <c r="A14" i="21"/>
  <c r="A13" i="21"/>
  <c r="B13" i="21"/>
  <c r="C7" i="21"/>
  <c r="H11" i="32" l="1"/>
  <c r="E12" i="32" s="1"/>
  <c r="C6" i="31"/>
  <c r="E20" i="30" s="1"/>
  <c r="B2" i="31"/>
  <c r="C4" i="31"/>
  <c r="B8" i="21"/>
  <c r="B6" i="21"/>
  <c r="B43" i="20"/>
  <c r="B43" i="21" s="1"/>
  <c r="E11" i="33" l="1"/>
  <c r="E8" i="33" s="1"/>
  <c r="E30" i="34" s="1"/>
  <c r="E11" i="32"/>
  <c r="E18" i="32" s="1"/>
  <c r="E20" i="34" s="1"/>
  <c r="H4" i="30"/>
  <c r="A4" i="30"/>
  <c r="E27" i="33" l="1"/>
  <c r="B8" i="33"/>
  <c r="D22" i="32"/>
  <c r="B8" i="32"/>
  <c r="J11" i="30"/>
  <c r="H11" i="30"/>
  <c r="E12" i="30" s="1"/>
  <c r="E8" i="30" s="1"/>
  <c r="E26" i="34" s="1"/>
  <c r="A4" i="28"/>
  <c r="D24" i="32" l="1"/>
  <c r="E27" i="32" s="1"/>
  <c r="B8" i="30"/>
  <c r="A4" i="24"/>
  <c r="E21" i="34" l="1"/>
  <c r="H15" i="28"/>
  <c r="H14" i="28"/>
  <c r="H13" i="28"/>
  <c r="I13" i="28" s="1"/>
  <c r="H12" i="28"/>
  <c r="I12" i="28" s="1"/>
  <c r="H10" i="28"/>
  <c r="H22" i="24" s="1"/>
  <c r="H9" i="28"/>
  <c r="H4" i="28"/>
  <c r="H15" i="24"/>
  <c r="H14" i="24"/>
  <c r="H13" i="24"/>
  <c r="I13" i="24" s="1"/>
  <c r="H12" i="24"/>
  <c r="I12" i="24" s="1"/>
  <c r="H10" i="24"/>
  <c r="H9" i="24"/>
  <c r="H4" i="24"/>
  <c r="A4" i="21"/>
  <c r="E15" i="22"/>
  <c r="E27" i="22" s="1"/>
  <c r="E15" i="2"/>
  <c r="E27" i="2" s="1"/>
  <c r="E18" i="28" l="1"/>
  <c r="J13" i="28"/>
  <c r="C9" i="20" s="1"/>
  <c r="H7" i="34" s="1"/>
  <c r="H11" i="28"/>
  <c r="H11" i="24"/>
  <c r="B7" i="24" s="1"/>
  <c r="H16" i="28"/>
  <c r="H16" i="24"/>
  <c r="G27" i="22"/>
  <c r="G27" i="2"/>
  <c r="C4" i="20"/>
  <c r="F21" i="2" l="1"/>
  <c r="J26" i="34"/>
  <c r="J19" i="32"/>
  <c r="J19" i="24"/>
  <c r="J18" i="28"/>
  <c r="C9" i="21"/>
  <c r="F21" i="22" s="1"/>
  <c r="H19" i="24"/>
  <c r="D4" i="22"/>
  <c r="C11" i="21"/>
  <c r="L7" i="11"/>
  <c r="K7" i="11"/>
  <c r="J7" i="11"/>
  <c r="I7" i="11"/>
  <c r="D4" i="2"/>
  <c r="C2" i="2"/>
  <c r="C18" i="20"/>
  <c r="D2" i="2" s="1"/>
  <c r="U40" i="12"/>
  <c r="S40" i="12"/>
  <c r="M40" i="12"/>
  <c r="O40" i="12" s="1"/>
  <c r="U39" i="12"/>
  <c r="S39" i="12"/>
  <c r="M39" i="12"/>
  <c r="O39" i="12" s="1"/>
  <c r="E19" i="28" l="1"/>
  <c r="H20" i="24" s="1"/>
  <c r="J28" i="34"/>
  <c r="C18" i="21"/>
  <c r="B12" i="21" s="1"/>
  <c r="C4" i="2"/>
  <c r="B12" i="20"/>
  <c r="D3" i="31" s="1"/>
  <c r="C28" i="20"/>
  <c r="E2" i="2" s="1"/>
  <c r="N39" i="12"/>
  <c r="N40" i="12"/>
  <c r="D9" i="32" l="1"/>
  <c r="D3" i="2"/>
  <c r="D3" i="22"/>
  <c r="C5" i="22" l="1"/>
  <c r="C22" i="21"/>
  <c r="C22" i="20"/>
  <c r="E11" i="22"/>
  <c r="E10" i="22"/>
  <c r="E7" i="22"/>
  <c r="E5" i="22"/>
  <c r="C2" i="22"/>
  <c r="D2" i="22" s="1"/>
  <c r="C4" i="22" s="1"/>
  <c r="E41" i="22"/>
  <c r="E39" i="22"/>
  <c r="F37" i="22"/>
  <c r="C28" i="21"/>
  <c r="E2" i="22" s="1"/>
  <c r="C4" i="21"/>
  <c r="E13" i="2"/>
  <c r="B8" i="3"/>
  <c r="E7" i="2"/>
  <c r="E11" i="2"/>
  <c r="E10" i="2"/>
  <c r="C5" i="2"/>
  <c r="E5" i="2"/>
  <c r="F37" i="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42" i="12"/>
  <c r="U41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42" i="12"/>
  <c r="S41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5" i="12"/>
  <c r="E41" i="2"/>
  <c r="E39" i="2"/>
  <c r="AB17" i="12"/>
  <c r="AB16" i="12"/>
  <c r="AB15" i="12"/>
  <c r="AB14" i="12"/>
  <c r="AB13" i="12"/>
  <c r="T42" i="10"/>
  <c r="F11" i="11"/>
  <c r="AE11" i="11" s="1"/>
  <c r="AH15" i="11"/>
  <c r="AI15" i="11" s="1"/>
  <c r="F16" i="11"/>
  <c r="AE16" i="11" s="1"/>
  <c r="F13" i="11"/>
  <c r="AE13" i="11" s="1"/>
  <c r="F10" i="11"/>
  <c r="AE10" i="11" s="1"/>
  <c r="F9" i="11"/>
  <c r="AE9" i="11" s="1"/>
  <c r="F8" i="11"/>
  <c r="AE8" i="11" s="1"/>
  <c r="F7" i="11"/>
  <c r="AE7" i="11" s="1"/>
  <c r="F6" i="11"/>
  <c r="AE6" i="11" s="1"/>
  <c r="L8" i="10"/>
  <c r="M8" i="10" s="1"/>
  <c r="Q8" i="10" s="1"/>
  <c r="F32" i="10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F561" i="10" s="1"/>
  <c r="F562" i="10" s="1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F609" i="10" s="1"/>
  <c r="F610" i="10" s="1"/>
  <c r="F611" i="10" s="1"/>
  <c r="F612" i="10" s="1"/>
  <c r="F613" i="10" s="1"/>
  <c r="F614" i="10" s="1"/>
  <c r="F615" i="10" s="1"/>
  <c r="F616" i="10" s="1"/>
  <c r="F617" i="10" s="1"/>
  <c r="F618" i="10" s="1"/>
  <c r="F619" i="10" s="1"/>
  <c r="F620" i="10" s="1"/>
  <c r="F621" i="10" s="1"/>
  <c r="F622" i="10" s="1"/>
  <c r="F623" i="10" s="1"/>
  <c r="F624" i="10" s="1"/>
  <c r="F625" i="10" s="1"/>
  <c r="F626" i="10" s="1"/>
  <c r="F627" i="10" s="1"/>
  <c r="F628" i="10" s="1"/>
  <c r="F629" i="10" s="1"/>
  <c r="F630" i="10" s="1"/>
  <c r="F631" i="10" s="1"/>
  <c r="F632" i="10" s="1"/>
  <c r="F633" i="10" s="1"/>
  <c r="F634" i="10" s="1"/>
  <c r="F635" i="10" s="1"/>
  <c r="F636" i="10" s="1"/>
  <c r="F637" i="10" s="1"/>
  <c r="F638" i="10" s="1"/>
  <c r="F639" i="10" s="1"/>
  <c r="F640" i="10" s="1"/>
  <c r="F641" i="10" s="1"/>
  <c r="F642" i="10" s="1"/>
  <c r="F643" i="10" s="1"/>
  <c r="F644" i="10" s="1"/>
  <c r="F645" i="10" s="1"/>
  <c r="F646" i="10" s="1"/>
  <c r="F647" i="10" s="1"/>
  <c r="F648" i="10" s="1"/>
  <c r="F649" i="10" s="1"/>
  <c r="F650" i="10" s="1"/>
  <c r="F651" i="10" s="1"/>
  <c r="F652" i="10" s="1"/>
  <c r="F653" i="10" s="1"/>
  <c r="F654" i="10" s="1"/>
  <c r="F655" i="10" s="1"/>
  <c r="F656" i="10" s="1"/>
  <c r="F657" i="10" s="1"/>
  <c r="F658" i="10" s="1"/>
  <c r="F659" i="10" s="1"/>
  <c r="F660" i="10" s="1"/>
  <c r="F661" i="10" s="1"/>
  <c r="F662" i="10" s="1"/>
  <c r="F663" i="10" s="1"/>
  <c r="F664" i="10" s="1"/>
  <c r="F665" i="10" s="1"/>
  <c r="F666" i="10" s="1"/>
  <c r="F667" i="10" s="1"/>
  <c r="F668" i="10" s="1"/>
  <c r="F669" i="10" s="1"/>
  <c r="F670" i="10" s="1"/>
  <c r="F671" i="10" s="1"/>
  <c r="F672" i="10" s="1"/>
  <c r="F673" i="10" s="1"/>
  <c r="F674" i="10" s="1"/>
  <c r="F675" i="10" s="1"/>
  <c r="F676" i="10" s="1"/>
  <c r="F677" i="10" s="1"/>
  <c r="F678" i="10" s="1"/>
  <c r="F679" i="10" s="1"/>
  <c r="F680" i="10" s="1"/>
  <c r="F681" i="10" s="1"/>
  <c r="F682" i="10" s="1"/>
  <c r="F683" i="10" s="1"/>
  <c r="F684" i="10" s="1"/>
  <c r="F685" i="10" s="1"/>
  <c r="F686" i="10" s="1"/>
  <c r="F687" i="10" s="1"/>
  <c r="F688" i="10" s="1"/>
  <c r="F689" i="10" s="1"/>
  <c r="F690" i="10" s="1"/>
  <c r="F691" i="10" s="1"/>
  <c r="F692" i="10" s="1"/>
  <c r="F693" i="10" s="1"/>
  <c r="F694" i="10" s="1"/>
  <c r="F695" i="10" s="1"/>
  <c r="F696" i="10" s="1"/>
  <c r="F697" i="10" s="1"/>
  <c r="F698" i="10" s="1"/>
  <c r="F699" i="10" s="1"/>
  <c r="F700" i="10" s="1"/>
  <c r="F701" i="10" s="1"/>
  <c r="F702" i="10" s="1"/>
  <c r="F703" i="10" s="1"/>
  <c r="F704" i="10" s="1"/>
  <c r="F705" i="10" s="1"/>
  <c r="F706" i="10" s="1"/>
  <c r="F707" i="10" s="1"/>
  <c r="F708" i="10" s="1"/>
  <c r="F709" i="10" s="1"/>
  <c r="F710" i="10" s="1"/>
  <c r="F711" i="10" s="1"/>
  <c r="F712" i="10" s="1"/>
  <c r="F713" i="10" s="1"/>
  <c r="F714" i="10" s="1"/>
  <c r="F715" i="10" s="1"/>
  <c r="F716" i="10" s="1"/>
  <c r="F717" i="10" s="1"/>
  <c r="F718" i="10" s="1"/>
  <c r="F719" i="10" s="1"/>
  <c r="F720" i="10" s="1"/>
  <c r="F721" i="10" s="1"/>
  <c r="F722" i="10" s="1"/>
  <c r="F723" i="10" s="1"/>
  <c r="F724" i="10" s="1"/>
  <c r="F725" i="10" s="1"/>
  <c r="F726" i="10" s="1"/>
  <c r="F727" i="10" s="1"/>
  <c r="F728" i="10" s="1"/>
  <c r="F729" i="10" s="1"/>
  <c r="F730" i="10" s="1"/>
  <c r="F731" i="10" s="1"/>
  <c r="F732" i="10" s="1"/>
  <c r="F733" i="10" s="1"/>
  <c r="F734" i="10" s="1"/>
  <c r="F735" i="10" s="1"/>
  <c r="F736" i="10" s="1"/>
  <c r="F737" i="10" s="1"/>
  <c r="F738" i="10" s="1"/>
  <c r="F739" i="10" s="1"/>
  <c r="F740" i="10" s="1"/>
  <c r="F741" i="10" s="1"/>
  <c r="F742" i="10" s="1"/>
  <c r="F743" i="10" s="1"/>
  <c r="F744" i="10" s="1"/>
  <c r="F745" i="10" s="1"/>
  <c r="F746" i="10" s="1"/>
  <c r="F747" i="10" s="1"/>
  <c r="F748" i="10" s="1"/>
  <c r="F749" i="10" s="1"/>
  <c r="F750" i="10" s="1"/>
  <c r="F751" i="10" s="1"/>
  <c r="F752" i="10" s="1"/>
  <c r="F753" i="10" s="1"/>
  <c r="F754" i="10" s="1"/>
  <c r="F755" i="10" s="1"/>
  <c r="F756" i="10" s="1"/>
  <c r="F757" i="10" s="1"/>
  <c r="F758" i="10" s="1"/>
  <c r="F759" i="10" s="1"/>
  <c r="F760" i="10" s="1"/>
  <c r="F761" i="10" s="1"/>
  <c r="F762" i="10" s="1"/>
  <c r="F763" i="10" s="1"/>
  <c r="F764" i="10" s="1"/>
  <c r="F765" i="10" s="1"/>
  <c r="F766" i="10" s="1"/>
  <c r="F767" i="10" s="1"/>
  <c r="F768" i="10" s="1"/>
  <c r="F769" i="10" s="1"/>
  <c r="F770" i="10" s="1"/>
  <c r="F771" i="10" s="1"/>
  <c r="F772" i="10" s="1"/>
  <c r="F773" i="10" s="1"/>
  <c r="F774" i="10" s="1"/>
  <c r="F775" i="10" s="1"/>
  <c r="F776" i="10" s="1"/>
  <c r="F777" i="10" s="1"/>
  <c r="F778" i="10" s="1"/>
  <c r="F779" i="10" s="1"/>
  <c r="F780" i="10" s="1"/>
  <c r="F781" i="10" s="1"/>
  <c r="F782" i="10" s="1"/>
  <c r="F783" i="10" s="1"/>
  <c r="F784" i="10" s="1"/>
  <c r="F785" i="10" s="1"/>
  <c r="F786" i="10" s="1"/>
  <c r="F787" i="10" s="1"/>
  <c r="F788" i="10" s="1"/>
  <c r="F789" i="10" s="1"/>
  <c r="F790" i="10" s="1"/>
  <c r="F791" i="10" s="1"/>
  <c r="F792" i="10" s="1"/>
  <c r="F793" i="10" s="1"/>
  <c r="F794" i="10" s="1"/>
  <c r="F795" i="10" s="1"/>
  <c r="F796" i="10" s="1"/>
  <c r="F797" i="10" s="1"/>
  <c r="F798" i="10" s="1"/>
  <c r="F799" i="10" s="1"/>
  <c r="F800" i="10" s="1"/>
  <c r="F801" i="10" s="1"/>
  <c r="F802" i="10" s="1"/>
  <c r="F803" i="10" s="1"/>
  <c r="F804" i="10" s="1"/>
  <c r="F805" i="10" s="1"/>
  <c r="F806" i="10" s="1"/>
  <c r="F807" i="10" s="1"/>
  <c r="F808" i="10" s="1"/>
  <c r="F809" i="10" s="1"/>
  <c r="F810" i="10" s="1"/>
  <c r="F811" i="10" s="1"/>
  <c r="F812" i="10" s="1"/>
  <c r="F813" i="10" s="1"/>
  <c r="F814" i="10" s="1"/>
  <c r="F815" i="10" s="1"/>
  <c r="F816" i="10" s="1"/>
  <c r="F817" i="10" s="1"/>
  <c r="F818" i="10" s="1"/>
  <c r="F819" i="10" s="1"/>
  <c r="F820" i="10" s="1"/>
  <c r="F821" i="10" s="1"/>
  <c r="F822" i="10" s="1"/>
  <c r="F823" i="10" s="1"/>
  <c r="F824" i="10" s="1"/>
  <c r="F825" i="10" s="1"/>
  <c r="F826" i="10" s="1"/>
  <c r="F827" i="10" s="1"/>
  <c r="F828" i="10" s="1"/>
  <c r="F829" i="10" s="1"/>
  <c r="F830" i="10" s="1"/>
  <c r="F831" i="10" s="1"/>
  <c r="F832" i="10" s="1"/>
  <c r="F833" i="10" s="1"/>
  <c r="F834" i="10" s="1"/>
  <c r="F835" i="10" s="1"/>
  <c r="F836" i="10" s="1"/>
  <c r="F837" i="10" s="1"/>
  <c r="F838" i="10" s="1"/>
  <c r="F839" i="10" s="1"/>
  <c r="F840" i="10" s="1"/>
  <c r="F841" i="10" s="1"/>
  <c r="F842" i="10" s="1"/>
  <c r="F843" i="10" s="1"/>
  <c r="F844" i="10" s="1"/>
  <c r="F845" i="10" s="1"/>
  <c r="F846" i="10" s="1"/>
  <c r="F847" i="10" s="1"/>
  <c r="F848" i="10" s="1"/>
  <c r="F849" i="10" s="1"/>
  <c r="F850" i="10" s="1"/>
  <c r="F851" i="10" s="1"/>
  <c r="F852" i="10" s="1"/>
  <c r="F853" i="10" s="1"/>
  <c r="F854" i="10" s="1"/>
  <c r="F855" i="10" s="1"/>
  <c r="F856" i="10" s="1"/>
  <c r="F857" i="10" s="1"/>
  <c r="F858" i="10" s="1"/>
  <c r="F859" i="10" s="1"/>
  <c r="F860" i="10" s="1"/>
  <c r="F861" i="10" s="1"/>
  <c r="F862" i="10" s="1"/>
  <c r="F863" i="10" s="1"/>
  <c r="F864" i="10" s="1"/>
  <c r="F865" i="10" s="1"/>
  <c r="F866" i="10" s="1"/>
  <c r="F867" i="10" s="1"/>
  <c r="F868" i="10" s="1"/>
  <c r="F869" i="10" s="1"/>
  <c r="F870" i="10" s="1"/>
  <c r="F871" i="10" s="1"/>
  <c r="F872" i="10" s="1"/>
  <c r="F873" i="10" s="1"/>
  <c r="F874" i="10" s="1"/>
  <c r="F875" i="10" s="1"/>
  <c r="F876" i="10" s="1"/>
  <c r="F877" i="10" s="1"/>
  <c r="F878" i="10" s="1"/>
  <c r="F879" i="10" s="1"/>
  <c r="F880" i="10" s="1"/>
  <c r="F881" i="10" s="1"/>
  <c r="F882" i="10" s="1"/>
  <c r="F883" i="10" s="1"/>
  <c r="F884" i="10" s="1"/>
  <c r="F885" i="10" s="1"/>
  <c r="F886" i="10" s="1"/>
  <c r="F887" i="10" s="1"/>
  <c r="F888" i="10" s="1"/>
  <c r="F889" i="10" s="1"/>
  <c r="F890" i="10" s="1"/>
  <c r="F891" i="10" s="1"/>
  <c r="F892" i="10" s="1"/>
  <c r="F893" i="10" s="1"/>
  <c r="F894" i="10" s="1"/>
  <c r="F895" i="10" s="1"/>
  <c r="F896" i="10" s="1"/>
  <c r="F897" i="10" s="1"/>
  <c r="F898" i="10" s="1"/>
  <c r="F899" i="10" s="1"/>
  <c r="F900" i="10" s="1"/>
  <c r="F901" i="10" s="1"/>
  <c r="F902" i="10" s="1"/>
  <c r="F903" i="10" s="1"/>
  <c r="F904" i="10" s="1"/>
  <c r="F905" i="10" s="1"/>
  <c r="F906" i="10" s="1"/>
  <c r="F907" i="10" s="1"/>
  <c r="F908" i="10" s="1"/>
  <c r="F909" i="10" s="1"/>
  <c r="F910" i="10" s="1"/>
  <c r="F911" i="10" s="1"/>
  <c r="F912" i="10" s="1"/>
  <c r="F913" i="10" s="1"/>
  <c r="F914" i="10" s="1"/>
  <c r="F915" i="10" s="1"/>
  <c r="F916" i="10" s="1"/>
  <c r="F917" i="10" s="1"/>
  <c r="F918" i="10" s="1"/>
  <c r="F919" i="10" s="1"/>
  <c r="F920" i="10" s="1"/>
  <c r="F921" i="10" s="1"/>
  <c r="F922" i="10" s="1"/>
  <c r="F923" i="10" s="1"/>
  <c r="F924" i="10" s="1"/>
  <c r="F925" i="10" s="1"/>
  <c r="F926" i="10" s="1"/>
  <c r="F927" i="10" s="1"/>
  <c r="F928" i="10" s="1"/>
  <c r="F929" i="10" s="1"/>
  <c r="F930" i="10" s="1"/>
  <c r="F931" i="10" s="1"/>
  <c r="F932" i="10" s="1"/>
  <c r="F933" i="10" s="1"/>
  <c r="F934" i="10" s="1"/>
  <c r="F935" i="10" s="1"/>
  <c r="F936" i="10" s="1"/>
  <c r="F937" i="10" s="1"/>
  <c r="F938" i="10" s="1"/>
  <c r="F939" i="10" s="1"/>
  <c r="F940" i="10" s="1"/>
  <c r="F941" i="10" s="1"/>
  <c r="F942" i="10" s="1"/>
  <c r="F943" i="10" s="1"/>
  <c r="F944" i="10" s="1"/>
  <c r="F945" i="10" s="1"/>
  <c r="F946" i="10" s="1"/>
  <c r="F947" i="10" s="1"/>
  <c r="F948" i="10" s="1"/>
  <c r="F949" i="10" s="1"/>
  <c r="F950" i="10" s="1"/>
  <c r="F951" i="10" s="1"/>
  <c r="F952" i="10" s="1"/>
  <c r="F953" i="10" s="1"/>
  <c r="F954" i="10" s="1"/>
  <c r="F955" i="10" s="1"/>
  <c r="F956" i="10" s="1"/>
  <c r="F957" i="10" s="1"/>
  <c r="F958" i="10" s="1"/>
  <c r="F959" i="10" s="1"/>
  <c r="F960" i="10" s="1"/>
  <c r="F961" i="10" s="1"/>
  <c r="F962" i="10" s="1"/>
  <c r="F963" i="10" s="1"/>
  <c r="F964" i="10" s="1"/>
  <c r="F965" i="10" s="1"/>
  <c r="F966" i="10" s="1"/>
  <c r="F967" i="10" s="1"/>
  <c r="F968" i="10" s="1"/>
  <c r="F969" i="10" s="1"/>
  <c r="F970" i="10" s="1"/>
  <c r="F971" i="10" s="1"/>
  <c r="F972" i="10" s="1"/>
  <c r="F973" i="10" s="1"/>
  <c r="F974" i="10" s="1"/>
  <c r="F975" i="10" s="1"/>
  <c r="F976" i="10" s="1"/>
  <c r="F977" i="10" s="1"/>
  <c r="F978" i="10" s="1"/>
  <c r="F979" i="10" s="1"/>
  <c r="F980" i="10" s="1"/>
  <c r="F981" i="10" s="1"/>
  <c r="F982" i="10" s="1"/>
  <c r="F983" i="10" s="1"/>
  <c r="F984" i="10" s="1"/>
  <c r="F985" i="10" s="1"/>
  <c r="F986" i="10" s="1"/>
  <c r="F987" i="10" s="1"/>
  <c r="F988" i="10" s="1"/>
  <c r="F989" i="10" s="1"/>
  <c r="F990" i="10" s="1"/>
  <c r="F991" i="10" s="1"/>
  <c r="F992" i="10" s="1"/>
  <c r="F993" i="10" s="1"/>
  <c r="F994" i="10" s="1"/>
  <c r="F995" i="10" s="1"/>
  <c r="F996" i="10" s="1"/>
  <c r="F997" i="10" s="1"/>
  <c r="F998" i="10" s="1"/>
  <c r="F999" i="10" s="1"/>
  <c r="F1000" i="10" s="1"/>
  <c r="F1001" i="10" s="1"/>
  <c r="F1002" i="10" s="1"/>
  <c r="F1003" i="10" s="1"/>
  <c r="F1004" i="10" s="1"/>
  <c r="F1005" i="10" s="1"/>
  <c r="F1006" i="10" s="1"/>
  <c r="F1007" i="10" s="1"/>
  <c r="F1008" i="10" s="1"/>
  <c r="F1009" i="10" s="1"/>
  <c r="F1010" i="10" s="1"/>
  <c r="F1011" i="10" s="1"/>
  <c r="F1012" i="10" s="1"/>
  <c r="F1013" i="10" s="1"/>
  <c r="F1014" i="10" s="1"/>
  <c r="F1015" i="10" s="1"/>
  <c r="F1016" i="10" s="1"/>
  <c r="F1017" i="10" s="1"/>
  <c r="F1018" i="10" s="1"/>
  <c r="F1019" i="10" s="1"/>
  <c r="F1020" i="10" s="1"/>
  <c r="F1021" i="10" s="1"/>
  <c r="F1022" i="10" s="1"/>
  <c r="F1023" i="10" s="1"/>
  <c r="F1024" i="10" s="1"/>
  <c r="F1025" i="10" s="1"/>
  <c r="F1026" i="10" s="1"/>
  <c r="F1027" i="10" s="1"/>
  <c r="F1028" i="10" s="1"/>
  <c r="F1029" i="10" s="1"/>
  <c r="F1030" i="10" s="1"/>
  <c r="F1031" i="10" s="1"/>
  <c r="F1032" i="10" s="1"/>
  <c r="F1033" i="10" s="1"/>
  <c r="F1034" i="10" s="1"/>
  <c r="F1035" i="10" s="1"/>
  <c r="F1036" i="10" s="1"/>
  <c r="F1037" i="10" s="1"/>
  <c r="F1038" i="10" s="1"/>
  <c r="F1039" i="10" s="1"/>
  <c r="F1040" i="10" s="1"/>
  <c r="F1041" i="10" s="1"/>
  <c r="F1042" i="10" s="1"/>
  <c r="F1043" i="10" s="1"/>
  <c r="F1044" i="10" s="1"/>
  <c r="F1045" i="10" s="1"/>
  <c r="F1046" i="10" s="1"/>
  <c r="F1047" i="10" s="1"/>
  <c r="F1048" i="10" s="1"/>
  <c r="F1049" i="10" s="1"/>
  <c r="F1050" i="10" s="1"/>
  <c r="F1051" i="10" s="1"/>
  <c r="F1052" i="10" s="1"/>
  <c r="F1053" i="10" s="1"/>
  <c r="F1054" i="10" s="1"/>
  <c r="F1055" i="10" s="1"/>
  <c r="F1056" i="10" s="1"/>
  <c r="F1057" i="10" s="1"/>
  <c r="F1058" i="10" s="1"/>
  <c r="F1059" i="10" s="1"/>
  <c r="F1060" i="10" s="1"/>
  <c r="F1061" i="10" s="1"/>
  <c r="F1062" i="10" s="1"/>
  <c r="F1063" i="10" s="1"/>
  <c r="F1064" i="10" s="1"/>
  <c r="F1065" i="10" s="1"/>
  <c r="F1066" i="10" s="1"/>
  <c r="F1067" i="10" s="1"/>
  <c r="F1068" i="10" s="1"/>
  <c r="F1069" i="10" s="1"/>
  <c r="F1070" i="10" s="1"/>
  <c r="F1071" i="10" s="1"/>
  <c r="F1072" i="10" s="1"/>
  <c r="F1073" i="10" s="1"/>
  <c r="F1074" i="10" s="1"/>
  <c r="F1075" i="10" s="1"/>
  <c r="F1076" i="10" s="1"/>
  <c r="F1077" i="10" s="1"/>
  <c r="F1078" i="10" s="1"/>
  <c r="F1079" i="10" s="1"/>
  <c r="F1080" i="10" s="1"/>
  <c r="F1081" i="10" s="1"/>
  <c r="F1082" i="10" s="1"/>
  <c r="F1083" i="10" s="1"/>
  <c r="F1084" i="10" s="1"/>
  <c r="F1085" i="10" s="1"/>
  <c r="L32" i="10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L110" i="10" s="1"/>
  <c r="L111" i="10" s="1"/>
  <c r="L112" i="10" s="1"/>
  <c r="L113" i="10" s="1"/>
  <c r="L114" i="10" s="1"/>
  <c r="L115" i="10" s="1"/>
  <c r="L116" i="10" s="1"/>
  <c r="L117" i="10" s="1"/>
  <c r="L118" i="10" s="1"/>
  <c r="L119" i="10" s="1"/>
  <c r="L120" i="10" s="1"/>
  <c r="L121" i="10" s="1"/>
  <c r="L122" i="10" s="1"/>
  <c r="L123" i="10" s="1"/>
  <c r="L124" i="10" s="1"/>
  <c r="L125" i="10" s="1"/>
  <c r="L126" i="10" s="1"/>
  <c r="L127" i="10" s="1"/>
  <c r="L128" i="10" s="1"/>
  <c r="L129" i="10" s="1"/>
  <c r="L130" i="10" s="1"/>
  <c r="L131" i="10" s="1"/>
  <c r="L132" i="10" s="1"/>
  <c r="L133" i="10" s="1"/>
  <c r="L134" i="10" s="1"/>
  <c r="L135" i="10" s="1"/>
  <c r="L136" i="10" s="1"/>
  <c r="L137" i="10" s="1"/>
  <c r="L138" i="10" s="1"/>
  <c r="L139" i="10" s="1"/>
  <c r="L140" i="10" s="1"/>
  <c r="L141" i="10" s="1"/>
  <c r="L142" i="10" s="1"/>
  <c r="L143" i="10" s="1"/>
  <c r="L144" i="10" s="1"/>
  <c r="L145" i="10" s="1"/>
  <c r="L146" i="10" s="1"/>
  <c r="L147" i="10" s="1"/>
  <c r="L148" i="10" s="1"/>
  <c r="L149" i="10" s="1"/>
  <c r="L150" i="10" s="1"/>
  <c r="L151" i="10" s="1"/>
  <c r="L152" i="10" s="1"/>
  <c r="L153" i="10" s="1"/>
  <c r="L154" i="10" s="1"/>
  <c r="L155" i="10" s="1"/>
  <c r="L156" i="10" s="1"/>
  <c r="L157" i="10" s="1"/>
  <c r="L158" i="10" s="1"/>
  <c r="L159" i="10" s="1"/>
  <c r="L160" i="10" s="1"/>
  <c r="L161" i="10" s="1"/>
  <c r="L162" i="10" s="1"/>
  <c r="L163" i="10" s="1"/>
  <c r="L164" i="10" s="1"/>
  <c r="L165" i="10" s="1"/>
  <c r="L166" i="10" s="1"/>
  <c r="L167" i="10" s="1"/>
  <c r="L168" i="10" s="1"/>
  <c r="L169" i="10" s="1"/>
  <c r="L170" i="10" s="1"/>
  <c r="L171" i="10" s="1"/>
  <c r="L172" i="10" s="1"/>
  <c r="L173" i="10" s="1"/>
  <c r="L174" i="10" s="1"/>
  <c r="L175" i="10" s="1"/>
  <c r="L176" i="10" s="1"/>
  <c r="L177" i="10" s="1"/>
  <c r="L178" i="10" s="1"/>
  <c r="L179" i="10" s="1"/>
  <c r="L180" i="10" s="1"/>
  <c r="L181" i="10" s="1"/>
  <c r="L182" i="10" s="1"/>
  <c r="L183" i="10" s="1"/>
  <c r="L184" i="10" s="1"/>
  <c r="L185" i="10" s="1"/>
  <c r="L186" i="10" s="1"/>
  <c r="L187" i="10" s="1"/>
  <c r="L188" i="10" s="1"/>
  <c r="L189" i="10" s="1"/>
  <c r="L190" i="10" s="1"/>
  <c r="L191" i="10" s="1"/>
  <c r="L192" i="10" s="1"/>
  <c r="L193" i="10" s="1"/>
  <c r="L194" i="10" s="1"/>
  <c r="L195" i="10" s="1"/>
  <c r="L196" i="10" s="1"/>
  <c r="L197" i="10" s="1"/>
  <c r="L198" i="10" s="1"/>
  <c r="L199" i="10" s="1"/>
  <c r="L200" i="10" s="1"/>
  <c r="L201" i="10" s="1"/>
  <c r="L202" i="10" s="1"/>
  <c r="L203" i="10" s="1"/>
  <c r="L204" i="10" s="1"/>
  <c r="L205" i="10" s="1"/>
  <c r="L206" i="10" s="1"/>
  <c r="L207" i="10" s="1"/>
  <c r="L208" i="10" s="1"/>
  <c r="L209" i="10" s="1"/>
  <c r="L210" i="10" s="1"/>
  <c r="L211" i="10" s="1"/>
  <c r="L212" i="10" s="1"/>
  <c r="L213" i="10" s="1"/>
  <c r="L214" i="10" s="1"/>
  <c r="L215" i="10" s="1"/>
  <c r="L216" i="10" s="1"/>
  <c r="L217" i="10" s="1"/>
  <c r="L218" i="10" s="1"/>
  <c r="L219" i="10" s="1"/>
  <c r="L220" i="10" s="1"/>
  <c r="L221" i="10" s="1"/>
  <c r="L222" i="10" s="1"/>
  <c r="L223" i="10" s="1"/>
  <c r="L224" i="10" s="1"/>
  <c r="L225" i="10" s="1"/>
  <c r="L226" i="10" s="1"/>
  <c r="L227" i="10" s="1"/>
  <c r="L228" i="10" s="1"/>
  <c r="L229" i="10" s="1"/>
  <c r="L230" i="10" s="1"/>
  <c r="L231" i="10" s="1"/>
  <c r="L232" i="10" s="1"/>
  <c r="L233" i="10" s="1"/>
  <c r="L234" i="10" s="1"/>
  <c r="L235" i="10" s="1"/>
  <c r="L236" i="10" s="1"/>
  <c r="L237" i="10" s="1"/>
  <c r="L238" i="10" s="1"/>
  <c r="L239" i="10" s="1"/>
  <c r="L240" i="10" s="1"/>
  <c r="L241" i="10" s="1"/>
  <c r="L242" i="10" s="1"/>
  <c r="L243" i="10" s="1"/>
  <c r="L244" i="10" s="1"/>
  <c r="L245" i="10" s="1"/>
  <c r="L246" i="10" s="1"/>
  <c r="L247" i="10" s="1"/>
  <c r="L248" i="10" s="1"/>
  <c r="L249" i="10" s="1"/>
  <c r="L250" i="10" s="1"/>
  <c r="L251" i="10" s="1"/>
  <c r="L252" i="10" s="1"/>
  <c r="L253" i="10" s="1"/>
  <c r="L254" i="10" s="1"/>
  <c r="L255" i="10" s="1"/>
  <c r="L256" i="10" s="1"/>
  <c r="L257" i="10" s="1"/>
  <c r="L258" i="10" s="1"/>
  <c r="L259" i="10" s="1"/>
  <c r="L260" i="10" s="1"/>
  <c r="L261" i="10" s="1"/>
  <c r="L262" i="10" s="1"/>
  <c r="L263" i="10" s="1"/>
  <c r="L264" i="10" s="1"/>
  <c r="L265" i="10" s="1"/>
  <c r="L266" i="10" s="1"/>
  <c r="L267" i="10" s="1"/>
  <c r="L268" i="10" s="1"/>
  <c r="L269" i="10" s="1"/>
  <c r="L270" i="10" s="1"/>
  <c r="L271" i="10" s="1"/>
  <c r="L272" i="10" s="1"/>
  <c r="L273" i="10" s="1"/>
  <c r="L274" i="10" s="1"/>
  <c r="L275" i="10" s="1"/>
  <c r="L276" i="10" s="1"/>
  <c r="L277" i="10" s="1"/>
  <c r="L278" i="10" s="1"/>
  <c r="L279" i="10" s="1"/>
  <c r="L280" i="10" s="1"/>
  <c r="L281" i="10" s="1"/>
  <c r="L282" i="10" s="1"/>
  <c r="L283" i="10" s="1"/>
  <c r="L284" i="10" s="1"/>
  <c r="L285" i="10" s="1"/>
  <c r="L286" i="10" s="1"/>
  <c r="L287" i="10" s="1"/>
  <c r="L288" i="10" s="1"/>
  <c r="L289" i="10" s="1"/>
  <c r="L290" i="10" s="1"/>
  <c r="L291" i="10" s="1"/>
  <c r="L292" i="10" s="1"/>
  <c r="L293" i="10" s="1"/>
  <c r="L294" i="10" s="1"/>
  <c r="L295" i="10" s="1"/>
  <c r="L296" i="10" s="1"/>
  <c r="L297" i="10" s="1"/>
  <c r="L298" i="10" s="1"/>
  <c r="L299" i="10" s="1"/>
  <c r="L300" i="10" s="1"/>
  <c r="L301" i="10" s="1"/>
  <c r="L302" i="10" s="1"/>
  <c r="L303" i="10" s="1"/>
  <c r="L304" i="10" s="1"/>
  <c r="L305" i="10" s="1"/>
  <c r="L306" i="10" s="1"/>
  <c r="L307" i="10" s="1"/>
  <c r="L308" i="10" s="1"/>
  <c r="L309" i="10" s="1"/>
  <c r="L310" i="10" s="1"/>
  <c r="L311" i="10" s="1"/>
  <c r="L312" i="10" s="1"/>
  <c r="L313" i="10" s="1"/>
  <c r="L314" i="10" s="1"/>
  <c r="L315" i="10" s="1"/>
  <c r="L316" i="10" s="1"/>
  <c r="L317" i="10" s="1"/>
  <c r="L318" i="10" s="1"/>
  <c r="L319" i="10" s="1"/>
  <c r="L320" i="10" s="1"/>
  <c r="L321" i="10" s="1"/>
  <c r="L322" i="10" s="1"/>
  <c r="L323" i="10" s="1"/>
  <c r="L324" i="10" s="1"/>
  <c r="L325" i="10" s="1"/>
  <c r="L326" i="10" s="1"/>
  <c r="L327" i="10" s="1"/>
  <c r="L328" i="10" s="1"/>
  <c r="L329" i="10" s="1"/>
  <c r="L330" i="10" s="1"/>
  <c r="L331" i="10" s="1"/>
  <c r="L332" i="10" s="1"/>
  <c r="L333" i="10" s="1"/>
  <c r="L334" i="10" s="1"/>
  <c r="L335" i="10" s="1"/>
  <c r="L336" i="10" s="1"/>
  <c r="L337" i="10" s="1"/>
  <c r="L338" i="10" s="1"/>
  <c r="L339" i="10" s="1"/>
  <c r="L340" i="10" s="1"/>
  <c r="L341" i="10" s="1"/>
  <c r="L342" i="10" s="1"/>
  <c r="L343" i="10" s="1"/>
  <c r="L344" i="10" s="1"/>
  <c r="L345" i="10" s="1"/>
  <c r="L346" i="10" s="1"/>
  <c r="L347" i="10" s="1"/>
  <c r="L348" i="10" s="1"/>
  <c r="L349" i="10" s="1"/>
  <c r="L350" i="10" s="1"/>
  <c r="L351" i="10" s="1"/>
  <c r="L352" i="10" s="1"/>
  <c r="L353" i="10" s="1"/>
  <c r="L354" i="10" s="1"/>
  <c r="L355" i="10" s="1"/>
  <c r="L356" i="10" s="1"/>
  <c r="L357" i="10" s="1"/>
  <c r="L358" i="10" s="1"/>
  <c r="L359" i="10" s="1"/>
  <c r="L360" i="10" s="1"/>
  <c r="L361" i="10" s="1"/>
  <c r="L362" i="10" s="1"/>
  <c r="L363" i="10" s="1"/>
  <c r="L364" i="10" s="1"/>
  <c r="L365" i="10" s="1"/>
  <c r="L366" i="10" s="1"/>
  <c r="L367" i="10" s="1"/>
  <c r="L368" i="10" s="1"/>
  <c r="L369" i="10" s="1"/>
  <c r="L370" i="10" s="1"/>
  <c r="L371" i="10" s="1"/>
  <c r="L372" i="10" s="1"/>
  <c r="L373" i="10" s="1"/>
  <c r="L374" i="10" s="1"/>
  <c r="L375" i="10" s="1"/>
  <c r="L376" i="10" s="1"/>
  <c r="L377" i="10" s="1"/>
  <c r="L378" i="10" s="1"/>
  <c r="L379" i="10" s="1"/>
  <c r="L380" i="10" s="1"/>
  <c r="L381" i="10" s="1"/>
  <c r="L382" i="10" s="1"/>
  <c r="L383" i="10" s="1"/>
  <c r="L384" i="10" s="1"/>
  <c r="L385" i="10" s="1"/>
  <c r="L386" i="10" s="1"/>
  <c r="L387" i="10" s="1"/>
  <c r="L388" i="10" s="1"/>
  <c r="L389" i="10" s="1"/>
  <c r="L390" i="10" s="1"/>
  <c r="L391" i="10" s="1"/>
  <c r="L392" i="10" s="1"/>
  <c r="L393" i="10" s="1"/>
  <c r="L394" i="10" s="1"/>
  <c r="L395" i="10" s="1"/>
  <c r="L396" i="10" s="1"/>
  <c r="L397" i="10" s="1"/>
  <c r="L398" i="10" s="1"/>
  <c r="L399" i="10" s="1"/>
  <c r="L400" i="10" s="1"/>
  <c r="L401" i="10" s="1"/>
  <c r="L402" i="10" s="1"/>
  <c r="L403" i="10" s="1"/>
  <c r="L404" i="10" s="1"/>
  <c r="L405" i="10" s="1"/>
  <c r="L406" i="10" s="1"/>
  <c r="L407" i="10" s="1"/>
  <c r="L408" i="10" s="1"/>
  <c r="L409" i="10" s="1"/>
  <c r="L410" i="10" s="1"/>
  <c r="L411" i="10" s="1"/>
  <c r="L412" i="10" s="1"/>
  <c r="L413" i="10" s="1"/>
  <c r="L414" i="10" s="1"/>
  <c r="L415" i="10" s="1"/>
  <c r="L416" i="10" s="1"/>
  <c r="L417" i="10" s="1"/>
  <c r="L418" i="10" s="1"/>
  <c r="L419" i="10" s="1"/>
  <c r="L420" i="10" s="1"/>
  <c r="L421" i="10" s="1"/>
  <c r="L422" i="10" s="1"/>
  <c r="L423" i="10" s="1"/>
  <c r="L424" i="10" s="1"/>
  <c r="L425" i="10" s="1"/>
  <c r="L426" i="10" s="1"/>
  <c r="L427" i="10" s="1"/>
  <c r="L428" i="10" s="1"/>
  <c r="L429" i="10" s="1"/>
  <c r="L430" i="10" s="1"/>
  <c r="L431" i="10" s="1"/>
  <c r="L432" i="10" s="1"/>
  <c r="L433" i="10" s="1"/>
  <c r="L434" i="10" s="1"/>
  <c r="L435" i="10" s="1"/>
  <c r="L436" i="10" s="1"/>
  <c r="L437" i="10" s="1"/>
  <c r="L438" i="10" s="1"/>
  <c r="L439" i="10" s="1"/>
  <c r="L440" i="10" s="1"/>
  <c r="L441" i="10" s="1"/>
  <c r="L442" i="10" s="1"/>
  <c r="L443" i="10" s="1"/>
  <c r="L444" i="10" s="1"/>
  <c r="L445" i="10" s="1"/>
  <c r="L446" i="10" s="1"/>
  <c r="L447" i="10" s="1"/>
  <c r="L448" i="10" s="1"/>
  <c r="L449" i="10" s="1"/>
  <c r="L450" i="10" s="1"/>
  <c r="L451" i="10" s="1"/>
  <c r="L452" i="10" s="1"/>
  <c r="L453" i="10" s="1"/>
  <c r="L454" i="10" s="1"/>
  <c r="L455" i="10" s="1"/>
  <c r="L456" i="10" s="1"/>
  <c r="L457" i="10" s="1"/>
  <c r="L458" i="10" s="1"/>
  <c r="L459" i="10" s="1"/>
  <c r="L460" i="10" s="1"/>
  <c r="L461" i="10" s="1"/>
  <c r="L462" i="10" s="1"/>
  <c r="L463" i="10" s="1"/>
  <c r="L464" i="10" s="1"/>
  <c r="L465" i="10" s="1"/>
  <c r="L466" i="10" s="1"/>
  <c r="L467" i="10" s="1"/>
  <c r="L468" i="10" s="1"/>
  <c r="L469" i="10" s="1"/>
  <c r="L470" i="10" s="1"/>
  <c r="L471" i="10" s="1"/>
  <c r="L472" i="10" s="1"/>
  <c r="L473" i="10" s="1"/>
  <c r="L474" i="10" s="1"/>
  <c r="L475" i="10" s="1"/>
  <c r="L476" i="10" s="1"/>
  <c r="L477" i="10" s="1"/>
  <c r="L478" i="10" s="1"/>
  <c r="L479" i="10" s="1"/>
  <c r="L480" i="10" s="1"/>
  <c r="L481" i="10" s="1"/>
  <c r="L482" i="10" s="1"/>
  <c r="L483" i="10" s="1"/>
  <c r="L484" i="10" s="1"/>
  <c r="L485" i="10" s="1"/>
  <c r="L486" i="10" s="1"/>
  <c r="L487" i="10" s="1"/>
  <c r="L488" i="10" s="1"/>
  <c r="L489" i="10" s="1"/>
  <c r="L490" i="10" s="1"/>
  <c r="L491" i="10" s="1"/>
  <c r="L492" i="10" s="1"/>
  <c r="L493" i="10" s="1"/>
  <c r="L494" i="10" s="1"/>
  <c r="L495" i="10" s="1"/>
  <c r="L496" i="10" s="1"/>
  <c r="L497" i="10" s="1"/>
  <c r="L498" i="10" s="1"/>
  <c r="L499" i="10" s="1"/>
  <c r="L500" i="10" s="1"/>
  <c r="L501" i="10" s="1"/>
  <c r="L502" i="10" s="1"/>
  <c r="L503" i="10" s="1"/>
  <c r="L504" i="10" s="1"/>
  <c r="L505" i="10" s="1"/>
  <c r="L506" i="10" s="1"/>
  <c r="L507" i="10" s="1"/>
  <c r="L508" i="10" s="1"/>
  <c r="L509" i="10" s="1"/>
  <c r="L510" i="10" s="1"/>
  <c r="L511" i="10" s="1"/>
  <c r="L512" i="10" s="1"/>
  <c r="L513" i="10" s="1"/>
  <c r="L514" i="10" s="1"/>
  <c r="L515" i="10" s="1"/>
  <c r="L516" i="10" s="1"/>
  <c r="L517" i="10" s="1"/>
  <c r="L518" i="10" s="1"/>
  <c r="L519" i="10" s="1"/>
  <c r="L520" i="10" s="1"/>
  <c r="L521" i="10" s="1"/>
  <c r="L522" i="10" s="1"/>
  <c r="L523" i="10" s="1"/>
  <c r="L524" i="10" s="1"/>
  <c r="L525" i="10" s="1"/>
  <c r="L526" i="10" s="1"/>
  <c r="L527" i="10" s="1"/>
  <c r="L528" i="10" s="1"/>
  <c r="L529" i="10" s="1"/>
  <c r="L530" i="10" s="1"/>
  <c r="L531" i="10" s="1"/>
  <c r="L532" i="10" s="1"/>
  <c r="L533" i="10" s="1"/>
  <c r="L534" i="10" s="1"/>
  <c r="L535" i="10" s="1"/>
  <c r="L536" i="10" s="1"/>
  <c r="L537" i="10" s="1"/>
  <c r="L538" i="10" s="1"/>
  <c r="L539" i="10" s="1"/>
  <c r="L540" i="10" s="1"/>
  <c r="L541" i="10" s="1"/>
  <c r="L542" i="10" s="1"/>
  <c r="L543" i="10" s="1"/>
  <c r="L544" i="10" s="1"/>
  <c r="L545" i="10" s="1"/>
  <c r="L546" i="10" s="1"/>
  <c r="L547" i="10" s="1"/>
  <c r="L548" i="10" s="1"/>
  <c r="L549" i="10" s="1"/>
  <c r="L550" i="10" s="1"/>
  <c r="L551" i="10" s="1"/>
  <c r="L552" i="10" s="1"/>
  <c r="L553" i="10" s="1"/>
  <c r="L554" i="10" s="1"/>
  <c r="L555" i="10" s="1"/>
  <c r="L556" i="10" s="1"/>
  <c r="L557" i="10" s="1"/>
  <c r="L558" i="10" s="1"/>
  <c r="L559" i="10" s="1"/>
  <c r="L560" i="10" s="1"/>
  <c r="L561" i="10" s="1"/>
  <c r="L562" i="10" s="1"/>
  <c r="L563" i="10" s="1"/>
  <c r="L564" i="10" s="1"/>
  <c r="L565" i="10" s="1"/>
  <c r="L566" i="10" s="1"/>
  <c r="L567" i="10" s="1"/>
  <c r="L568" i="10" s="1"/>
  <c r="L569" i="10" s="1"/>
  <c r="L570" i="10" s="1"/>
  <c r="L571" i="10" s="1"/>
  <c r="L572" i="10" s="1"/>
  <c r="L573" i="10" s="1"/>
  <c r="L574" i="10" s="1"/>
  <c r="L575" i="10" s="1"/>
  <c r="L576" i="10" s="1"/>
  <c r="L577" i="10" s="1"/>
  <c r="L578" i="10" s="1"/>
  <c r="L579" i="10" s="1"/>
  <c r="L580" i="10" s="1"/>
  <c r="L581" i="10" s="1"/>
  <c r="L582" i="10" s="1"/>
  <c r="L583" i="10" s="1"/>
  <c r="L584" i="10" s="1"/>
  <c r="L585" i="10" s="1"/>
  <c r="L586" i="10" s="1"/>
  <c r="L587" i="10" s="1"/>
  <c r="L588" i="10" s="1"/>
  <c r="L589" i="10" s="1"/>
  <c r="L590" i="10" s="1"/>
  <c r="L591" i="10" s="1"/>
  <c r="L592" i="10" s="1"/>
  <c r="L593" i="10" s="1"/>
  <c r="L594" i="10" s="1"/>
  <c r="L595" i="10" s="1"/>
  <c r="L596" i="10" s="1"/>
  <c r="L597" i="10" s="1"/>
  <c r="L598" i="10" s="1"/>
  <c r="L599" i="10" s="1"/>
  <c r="L600" i="10" s="1"/>
  <c r="L601" i="10" s="1"/>
  <c r="L602" i="10" s="1"/>
  <c r="L603" i="10" s="1"/>
  <c r="L604" i="10" s="1"/>
  <c r="L605" i="10" s="1"/>
  <c r="L606" i="10" s="1"/>
  <c r="L607" i="10" s="1"/>
  <c r="L608" i="10" s="1"/>
  <c r="L609" i="10" s="1"/>
  <c r="L610" i="10" s="1"/>
  <c r="L611" i="10" s="1"/>
  <c r="L612" i="10" s="1"/>
  <c r="L613" i="10" s="1"/>
  <c r="L614" i="10" s="1"/>
  <c r="L615" i="10" s="1"/>
  <c r="L616" i="10" s="1"/>
  <c r="L617" i="10" s="1"/>
  <c r="L618" i="10" s="1"/>
  <c r="L619" i="10" s="1"/>
  <c r="L620" i="10" s="1"/>
  <c r="L621" i="10" s="1"/>
  <c r="L622" i="10" s="1"/>
  <c r="L623" i="10" s="1"/>
  <c r="L624" i="10" s="1"/>
  <c r="L625" i="10" s="1"/>
  <c r="L626" i="10" s="1"/>
  <c r="L627" i="10" s="1"/>
  <c r="L628" i="10" s="1"/>
  <c r="L629" i="10" s="1"/>
  <c r="L630" i="10" s="1"/>
  <c r="L631" i="10" s="1"/>
  <c r="L632" i="10" s="1"/>
  <c r="L633" i="10" s="1"/>
  <c r="L634" i="10" s="1"/>
  <c r="L635" i="10" s="1"/>
  <c r="L636" i="10" s="1"/>
  <c r="L637" i="10" s="1"/>
  <c r="L638" i="10" s="1"/>
  <c r="L639" i="10" s="1"/>
  <c r="L640" i="10" s="1"/>
  <c r="L641" i="10" s="1"/>
  <c r="L642" i="10" s="1"/>
  <c r="L643" i="10" s="1"/>
  <c r="L644" i="10" s="1"/>
  <c r="L645" i="10" s="1"/>
  <c r="L646" i="10" s="1"/>
  <c r="L647" i="10" s="1"/>
  <c r="L648" i="10" s="1"/>
  <c r="L649" i="10" s="1"/>
  <c r="L650" i="10" s="1"/>
  <c r="L651" i="10" s="1"/>
  <c r="L652" i="10" s="1"/>
  <c r="L653" i="10" s="1"/>
  <c r="L654" i="10" s="1"/>
  <c r="L655" i="10" s="1"/>
  <c r="L656" i="10" s="1"/>
  <c r="L657" i="10" s="1"/>
  <c r="L658" i="10" s="1"/>
  <c r="L659" i="10" s="1"/>
  <c r="L660" i="10" s="1"/>
  <c r="L661" i="10" s="1"/>
  <c r="L662" i="10" s="1"/>
  <c r="L663" i="10" s="1"/>
  <c r="L664" i="10" s="1"/>
  <c r="L665" i="10" s="1"/>
  <c r="L666" i="10" s="1"/>
  <c r="L667" i="10" s="1"/>
  <c r="L668" i="10" s="1"/>
  <c r="L669" i="10" s="1"/>
  <c r="L670" i="10" s="1"/>
  <c r="L671" i="10" s="1"/>
  <c r="L672" i="10" s="1"/>
  <c r="L673" i="10" s="1"/>
  <c r="L674" i="10" s="1"/>
  <c r="L675" i="10" s="1"/>
  <c r="L676" i="10" s="1"/>
  <c r="L677" i="10" s="1"/>
  <c r="L678" i="10" s="1"/>
  <c r="L679" i="10" s="1"/>
  <c r="L680" i="10" s="1"/>
  <c r="L681" i="10" s="1"/>
  <c r="L682" i="10" s="1"/>
  <c r="L683" i="10" s="1"/>
  <c r="L684" i="10" s="1"/>
  <c r="L685" i="10" s="1"/>
  <c r="L686" i="10" s="1"/>
  <c r="L687" i="10" s="1"/>
  <c r="L688" i="10" s="1"/>
  <c r="L689" i="10" s="1"/>
  <c r="L690" i="10" s="1"/>
  <c r="L691" i="10" s="1"/>
  <c r="L692" i="10" s="1"/>
  <c r="L693" i="10" s="1"/>
  <c r="L694" i="10" s="1"/>
  <c r="L695" i="10" s="1"/>
  <c r="L696" i="10" s="1"/>
  <c r="L697" i="10" s="1"/>
  <c r="L698" i="10" s="1"/>
  <c r="L699" i="10" s="1"/>
  <c r="L700" i="10" s="1"/>
  <c r="L701" i="10" s="1"/>
  <c r="L702" i="10" s="1"/>
  <c r="L703" i="10" s="1"/>
  <c r="L704" i="10" s="1"/>
  <c r="L705" i="10" s="1"/>
  <c r="L706" i="10" s="1"/>
  <c r="L707" i="10" s="1"/>
  <c r="L708" i="10" s="1"/>
  <c r="L709" i="10" s="1"/>
  <c r="L710" i="10" s="1"/>
  <c r="L711" i="10" s="1"/>
  <c r="L712" i="10" s="1"/>
  <c r="L713" i="10" s="1"/>
  <c r="L714" i="10" s="1"/>
  <c r="L715" i="10" s="1"/>
  <c r="L716" i="10" s="1"/>
  <c r="L717" i="10" s="1"/>
  <c r="L718" i="10" s="1"/>
  <c r="L719" i="10" s="1"/>
  <c r="L720" i="10" s="1"/>
  <c r="L721" i="10" s="1"/>
  <c r="L722" i="10" s="1"/>
  <c r="L723" i="10" s="1"/>
  <c r="L724" i="10" s="1"/>
  <c r="L725" i="10" s="1"/>
  <c r="L726" i="10" s="1"/>
  <c r="L727" i="10" s="1"/>
  <c r="L728" i="10" s="1"/>
  <c r="L729" i="10" s="1"/>
  <c r="L730" i="10" s="1"/>
  <c r="L731" i="10" s="1"/>
  <c r="L732" i="10" s="1"/>
  <c r="L733" i="10" s="1"/>
  <c r="L734" i="10" s="1"/>
  <c r="L735" i="10" s="1"/>
  <c r="L736" i="10" s="1"/>
  <c r="L737" i="10" s="1"/>
  <c r="L738" i="10" s="1"/>
  <c r="L739" i="10" s="1"/>
  <c r="L740" i="10" s="1"/>
  <c r="L741" i="10" s="1"/>
  <c r="L742" i="10" s="1"/>
  <c r="L743" i="10" s="1"/>
  <c r="L744" i="10" s="1"/>
  <c r="L745" i="10" s="1"/>
  <c r="L746" i="10" s="1"/>
  <c r="L747" i="10" s="1"/>
  <c r="L748" i="10" s="1"/>
  <c r="L749" i="10" s="1"/>
  <c r="L750" i="10" s="1"/>
  <c r="L751" i="10" s="1"/>
  <c r="L752" i="10" s="1"/>
  <c r="L753" i="10" s="1"/>
  <c r="L754" i="10" s="1"/>
  <c r="L755" i="10" s="1"/>
  <c r="L756" i="10" s="1"/>
  <c r="L757" i="10" s="1"/>
  <c r="L758" i="10" s="1"/>
  <c r="L759" i="10" s="1"/>
  <c r="L760" i="10" s="1"/>
  <c r="L761" i="10" s="1"/>
  <c r="L762" i="10" s="1"/>
  <c r="L763" i="10" s="1"/>
  <c r="L764" i="10" s="1"/>
  <c r="L765" i="10" s="1"/>
  <c r="L766" i="10" s="1"/>
  <c r="L767" i="10" s="1"/>
  <c r="L768" i="10" s="1"/>
  <c r="L769" i="10" s="1"/>
  <c r="L770" i="10" s="1"/>
  <c r="L771" i="10" s="1"/>
  <c r="L772" i="10" s="1"/>
  <c r="L773" i="10" s="1"/>
  <c r="L774" i="10" s="1"/>
  <c r="L775" i="10" s="1"/>
  <c r="L776" i="10" s="1"/>
  <c r="L777" i="10" s="1"/>
  <c r="L778" i="10" s="1"/>
  <c r="L779" i="10" s="1"/>
  <c r="L780" i="10" s="1"/>
  <c r="L781" i="10" s="1"/>
  <c r="L782" i="10" s="1"/>
  <c r="L783" i="10" s="1"/>
  <c r="L784" i="10" s="1"/>
  <c r="L785" i="10" s="1"/>
  <c r="L786" i="10" s="1"/>
  <c r="L787" i="10" s="1"/>
  <c r="L788" i="10" s="1"/>
  <c r="L789" i="10" s="1"/>
  <c r="L790" i="10" s="1"/>
  <c r="L791" i="10" s="1"/>
  <c r="L792" i="10" s="1"/>
  <c r="L793" i="10" s="1"/>
  <c r="L794" i="10" s="1"/>
  <c r="L795" i="10" s="1"/>
  <c r="L796" i="10" s="1"/>
  <c r="L797" i="10" s="1"/>
  <c r="L798" i="10" s="1"/>
  <c r="L799" i="10" s="1"/>
  <c r="L800" i="10" s="1"/>
  <c r="L801" i="10" s="1"/>
  <c r="L802" i="10" s="1"/>
  <c r="L803" i="10" s="1"/>
  <c r="L804" i="10" s="1"/>
  <c r="L805" i="10" s="1"/>
  <c r="L806" i="10" s="1"/>
  <c r="L807" i="10" s="1"/>
  <c r="L808" i="10" s="1"/>
  <c r="L809" i="10" s="1"/>
  <c r="L810" i="10" s="1"/>
  <c r="L811" i="10" s="1"/>
  <c r="L812" i="10" s="1"/>
  <c r="L813" i="10" s="1"/>
  <c r="L814" i="10" s="1"/>
  <c r="L815" i="10" s="1"/>
  <c r="L816" i="10" s="1"/>
  <c r="L817" i="10" s="1"/>
  <c r="L818" i="10" s="1"/>
  <c r="L819" i="10" s="1"/>
  <c r="L820" i="10" s="1"/>
  <c r="L821" i="10" s="1"/>
  <c r="L822" i="10" s="1"/>
  <c r="L823" i="10" s="1"/>
  <c r="L824" i="10" s="1"/>
  <c r="L825" i="10" s="1"/>
  <c r="L826" i="10" s="1"/>
  <c r="L827" i="10" s="1"/>
  <c r="L828" i="10" s="1"/>
  <c r="L829" i="10" s="1"/>
  <c r="L830" i="10" s="1"/>
  <c r="L831" i="10" s="1"/>
  <c r="L832" i="10" s="1"/>
  <c r="L833" i="10" s="1"/>
  <c r="L834" i="10" s="1"/>
  <c r="L835" i="10" s="1"/>
  <c r="L836" i="10" s="1"/>
  <c r="L837" i="10" s="1"/>
  <c r="L838" i="10" s="1"/>
  <c r="L839" i="10" s="1"/>
  <c r="L840" i="10" s="1"/>
  <c r="L841" i="10" s="1"/>
  <c r="L842" i="10" s="1"/>
  <c r="L843" i="10" s="1"/>
  <c r="L844" i="10" s="1"/>
  <c r="L845" i="10" s="1"/>
  <c r="L846" i="10" s="1"/>
  <c r="L847" i="10" s="1"/>
  <c r="L848" i="10" s="1"/>
  <c r="L849" i="10" s="1"/>
  <c r="L850" i="10" s="1"/>
  <c r="L851" i="10" s="1"/>
  <c r="L852" i="10" s="1"/>
  <c r="L853" i="10" s="1"/>
  <c r="L854" i="10" s="1"/>
  <c r="L855" i="10" s="1"/>
  <c r="L856" i="10" s="1"/>
  <c r="L857" i="10" s="1"/>
  <c r="L858" i="10" s="1"/>
  <c r="L859" i="10" s="1"/>
  <c r="L860" i="10" s="1"/>
  <c r="L861" i="10" s="1"/>
  <c r="L862" i="10" s="1"/>
  <c r="L863" i="10" s="1"/>
  <c r="L864" i="10" s="1"/>
  <c r="L865" i="10" s="1"/>
  <c r="L866" i="10" s="1"/>
  <c r="L867" i="10" s="1"/>
  <c r="L868" i="10" s="1"/>
  <c r="L869" i="10" s="1"/>
  <c r="L870" i="10" s="1"/>
  <c r="L871" i="10" s="1"/>
  <c r="L872" i="10" s="1"/>
  <c r="L873" i="10" s="1"/>
  <c r="L874" i="10" s="1"/>
  <c r="L875" i="10" s="1"/>
  <c r="L876" i="10" s="1"/>
  <c r="L877" i="10" s="1"/>
  <c r="L878" i="10" s="1"/>
  <c r="L879" i="10" s="1"/>
  <c r="L880" i="10" s="1"/>
  <c r="L881" i="10" s="1"/>
  <c r="L882" i="10" s="1"/>
  <c r="L883" i="10" s="1"/>
  <c r="L884" i="10" s="1"/>
  <c r="L885" i="10" s="1"/>
  <c r="L886" i="10" s="1"/>
  <c r="L887" i="10" s="1"/>
  <c r="L888" i="10" s="1"/>
  <c r="L889" i="10" s="1"/>
  <c r="L890" i="10" s="1"/>
  <c r="L891" i="10" s="1"/>
  <c r="L892" i="10" s="1"/>
  <c r="L893" i="10" s="1"/>
  <c r="L894" i="10" s="1"/>
  <c r="L895" i="10" s="1"/>
  <c r="L896" i="10" s="1"/>
  <c r="L897" i="10" s="1"/>
  <c r="L898" i="10" s="1"/>
  <c r="L899" i="10" s="1"/>
  <c r="L900" i="10" s="1"/>
  <c r="L901" i="10" s="1"/>
  <c r="L902" i="10" s="1"/>
  <c r="L903" i="10" s="1"/>
  <c r="L904" i="10" s="1"/>
  <c r="L905" i="10" s="1"/>
  <c r="L906" i="10" s="1"/>
  <c r="L907" i="10" s="1"/>
  <c r="L908" i="10" s="1"/>
  <c r="L909" i="10" s="1"/>
  <c r="L910" i="10" s="1"/>
  <c r="L911" i="10" s="1"/>
  <c r="L912" i="10" s="1"/>
  <c r="L913" i="10" s="1"/>
  <c r="L914" i="10" s="1"/>
  <c r="L915" i="10" s="1"/>
  <c r="L916" i="10" s="1"/>
  <c r="L917" i="10" s="1"/>
  <c r="L918" i="10" s="1"/>
  <c r="L919" i="10" s="1"/>
  <c r="L920" i="10" s="1"/>
  <c r="L921" i="10" s="1"/>
  <c r="L922" i="10" s="1"/>
  <c r="L923" i="10" s="1"/>
  <c r="L924" i="10" s="1"/>
  <c r="L925" i="10" s="1"/>
  <c r="L926" i="10" s="1"/>
  <c r="L927" i="10" s="1"/>
  <c r="L928" i="10" s="1"/>
  <c r="L929" i="10" s="1"/>
  <c r="L930" i="10" s="1"/>
  <c r="L931" i="10" s="1"/>
  <c r="L932" i="10" s="1"/>
  <c r="L933" i="10" s="1"/>
  <c r="L934" i="10" s="1"/>
  <c r="L935" i="10" s="1"/>
  <c r="L936" i="10" s="1"/>
  <c r="L937" i="10" s="1"/>
  <c r="L938" i="10" s="1"/>
  <c r="L939" i="10" s="1"/>
  <c r="L940" i="10" s="1"/>
  <c r="L941" i="10" s="1"/>
  <c r="L942" i="10" s="1"/>
  <c r="L943" i="10" s="1"/>
  <c r="L944" i="10" s="1"/>
  <c r="L945" i="10" s="1"/>
  <c r="L946" i="10" s="1"/>
  <c r="L947" i="10" s="1"/>
  <c r="L948" i="10" s="1"/>
  <c r="L949" i="10" s="1"/>
  <c r="L950" i="10" s="1"/>
  <c r="L951" i="10" s="1"/>
  <c r="L952" i="10" s="1"/>
  <c r="L953" i="10" s="1"/>
  <c r="L954" i="10" s="1"/>
  <c r="L955" i="10" s="1"/>
  <c r="L956" i="10" s="1"/>
  <c r="L957" i="10" s="1"/>
  <c r="L958" i="10" s="1"/>
  <c r="L959" i="10" s="1"/>
  <c r="L960" i="10" s="1"/>
  <c r="L961" i="10" s="1"/>
  <c r="L962" i="10" s="1"/>
  <c r="L963" i="10" s="1"/>
  <c r="L964" i="10" s="1"/>
  <c r="L965" i="10" s="1"/>
  <c r="L966" i="10" s="1"/>
  <c r="L967" i="10" s="1"/>
  <c r="L968" i="10" s="1"/>
  <c r="L969" i="10" s="1"/>
  <c r="L970" i="10" s="1"/>
  <c r="L971" i="10" s="1"/>
  <c r="L972" i="10" s="1"/>
  <c r="L973" i="10" s="1"/>
  <c r="L974" i="10" s="1"/>
  <c r="L975" i="10" s="1"/>
  <c r="L976" i="10" s="1"/>
  <c r="L977" i="10" s="1"/>
  <c r="L978" i="10" s="1"/>
  <c r="L979" i="10" s="1"/>
  <c r="L980" i="10" s="1"/>
  <c r="L981" i="10" s="1"/>
  <c r="L982" i="10" s="1"/>
  <c r="L983" i="10" s="1"/>
  <c r="L984" i="10" s="1"/>
  <c r="L985" i="10" s="1"/>
  <c r="L986" i="10" s="1"/>
  <c r="L987" i="10" s="1"/>
  <c r="L988" i="10" s="1"/>
  <c r="L989" i="10" s="1"/>
  <c r="L990" i="10" s="1"/>
  <c r="L991" i="10" s="1"/>
  <c r="L992" i="10" s="1"/>
  <c r="L993" i="10" s="1"/>
  <c r="L994" i="10" s="1"/>
  <c r="L995" i="10" s="1"/>
  <c r="L996" i="10" s="1"/>
  <c r="L997" i="10" s="1"/>
  <c r="L998" i="10" s="1"/>
  <c r="L999" i="10" s="1"/>
  <c r="L1000" i="10" s="1"/>
  <c r="L1001" i="10" s="1"/>
  <c r="L1002" i="10" s="1"/>
  <c r="L1003" i="10" s="1"/>
  <c r="L1004" i="10" s="1"/>
  <c r="L1005" i="10" s="1"/>
  <c r="L1006" i="10" s="1"/>
  <c r="L1007" i="10" s="1"/>
  <c r="L1008" i="10" s="1"/>
  <c r="L1009" i="10" s="1"/>
  <c r="L1010" i="10" s="1"/>
  <c r="L1011" i="10" s="1"/>
  <c r="L1012" i="10" s="1"/>
  <c r="L1013" i="10" s="1"/>
  <c r="L1014" i="10" s="1"/>
  <c r="L1015" i="10" s="1"/>
  <c r="L1016" i="10" s="1"/>
  <c r="L1017" i="10" s="1"/>
  <c r="L1018" i="10" s="1"/>
  <c r="L1019" i="10" s="1"/>
  <c r="L1020" i="10" s="1"/>
  <c r="L1021" i="10" s="1"/>
  <c r="L1022" i="10" s="1"/>
  <c r="L1023" i="10" s="1"/>
  <c r="L1024" i="10" s="1"/>
  <c r="L1025" i="10" s="1"/>
  <c r="L1026" i="10" s="1"/>
  <c r="L1027" i="10" s="1"/>
  <c r="L1028" i="10" s="1"/>
  <c r="L1029" i="10" s="1"/>
  <c r="L1030" i="10" s="1"/>
  <c r="L1031" i="10" s="1"/>
  <c r="L1032" i="10" s="1"/>
  <c r="L1033" i="10" s="1"/>
  <c r="L1034" i="10" s="1"/>
  <c r="L1035" i="10" s="1"/>
  <c r="L1036" i="10" s="1"/>
  <c r="L1037" i="10" s="1"/>
  <c r="L1038" i="10" s="1"/>
  <c r="L1039" i="10" s="1"/>
  <c r="L1040" i="10" s="1"/>
  <c r="L1041" i="10" s="1"/>
  <c r="L1042" i="10" s="1"/>
  <c r="L1043" i="10" s="1"/>
  <c r="L1044" i="10" s="1"/>
  <c r="L1045" i="10" s="1"/>
  <c r="L1046" i="10" s="1"/>
  <c r="L1047" i="10" s="1"/>
  <c r="L1048" i="10" s="1"/>
  <c r="L1049" i="10" s="1"/>
  <c r="L1050" i="10" s="1"/>
  <c r="L1051" i="10" s="1"/>
  <c r="L1052" i="10" s="1"/>
  <c r="L1053" i="10" s="1"/>
  <c r="L1054" i="10" s="1"/>
  <c r="L1055" i="10" s="1"/>
  <c r="L1056" i="10" s="1"/>
  <c r="L1057" i="10" s="1"/>
  <c r="L1058" i="10" s="1"/>
  <c r="L1059" i="10" s="1"/>
  <c r="L1060" i="10" s="1"/>
  <c r="L1061" i="10" s="1"/>
  <c r="L1062" i="10" s="1"/>
  <c r="L1063" i="10" s="1"/>
  <c r="L1064" i="10" s="1"/>
  <c r="L1065" i="10" s="1"/>
  <c r="L1066" i="10" s="1"/>
  <c r="L1067" i="10" s="1"/>
  <c r="L1068" i="10" s="1"/>
  <c r="L1069" i="10" s="1"/>
  <c r="L1070" i="10" s="1"/>
  <c r="L1071" i="10" s="1"/>
  <c r="L1072" i="10" s="1"/>
  <c r="L1073" i="10" s="1"/>
  <c r="L1074" i="10" s="1"/>
  <c r="L1075" i="10" s="1"/>
  <c r="L1076" i="10" s="1"/>
  <c r="L1077" i="10" s="1"/>
  <c r="L1078" i="10" s="1"/>
  <c r="L1079" i="10" s="1"/>
  <c r="L1080" i="10" s="1"/>
  <c r="L1081" i="10" s="1"/>
  <c r="L1082" i="10" s="1"/>
  <c r="L1083" i="10" s="1"/>
  <c r="L1084" i="10" s="1"/>
  <c r="L1085" i="10" s="1"/>
  <c r="AI14" i="11"/>
  <c r="AJ14" i="11" s="1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41" i="4"/>
  <c r="D41" i="4" s="1"/>
  <c r="B42" i="4"/>
  <c r="D42" i="4" s="1"/>
  <c r="B43" i="4"/>
  <c r="D43" i="4" s="1"/>
  <c r="B44" i="4"/>
  <c r="D44" i="4" s="1"/>
  <c r="B45" i="4"/>
  <c r="D45" i="4" s="1"/>
  <c r="B46" i="4"/>
  <c r="D46" i="4" s="1"/>
  <c r="B47" i="4"/>
  <c r="D47" i="4" s="1"/>
  <c r="B48" i="4"/>
  <c r="D48" i="4" s="1"/>
  <c r="B49" i="4"/>
  <c r="D49" i="4" s="1"/>
  <c r="B50" i="4"/>
  <c r="D50" i="4" s="1"/>
  <c r="B51" i="4"/>
  <c r="D51" i="4" s="1"/>
  <c r="B52" i="4"/>
  <c r="D52" i="4" s="1"/>
  <c r="B53" i="4"/>
  <c r="D53" i="4" s="1"/>
  <c r="B54" i="4"/>
  <c r="D54" i="4" s="1"/>
  <c r="B55" i="4"/>
  <c r="D55" i="4" s="1"/>
  <c r="B56" i="4"/>
  <c r="D56" i="4" s="1"/>
  <c r="B57" i="4"/>
  <c r="D57" i="4" s="1"/>
  <c r="B58" i="4"/>
  <c r="D58" i="4" s="1"/>
  <c r="B59" i="4"/>
  <c r="D59" i="4" s="1"/>
  <c r="B60" i="4"/>
  <c r="D60" i="4" s="1"/>
  <c r="B61" i="4"/>
  <c r="D61" i="4" s="1"/>
  <c r="B62" i="4"/>
  <c r="D62" i="4" s="1"/>
  <c r="B63" i="4"/>
  <c r="D63" i="4" s="1"/>
  <c r="B64" i="4"/>
  <c r="D64" i="4" s="1"/>
  <c r="B65" i="4"/>
  <c r="D65" i="4" s="1"/>
  <c r="B66" i="4"/>
  <c r="D66" i="4" s="1"/>
  <c r="B67" i="4"/>
  <c r="D67" i="4" s="1"/>
  <c r="B68" i="4"/>
  <c r="D68" i="4" s="1"/>
  <c r="B69" i="4"/>
  <c r="D69" i="4" s="1"/>
  <c r="B70" i="4"/>
  <c r="D70" i="4" s="1"/>
  <c r="B71" i="4"/>
  <c r="D71" i="4" s="1"/>
  <c r="B72" i="4"/>
  <c r="D72" i="4" s="1"/>
  <c r="B73" i="4"/>
  <c r="D73" i="4" s="1"/>
  <c r="B74" i="4"/>
  <c r="D74" i="4" s="1"/>
  <c r="B75" i="4"/>
  <c r="D75" i="4" s="1"/>
  <c r="B76" i="4"/>
  <c r="D76" i="4" s="1"/>
  <c r="B77" i="4"/>
  <c r="D77" i="4" s="1"/>
  <c r="B78" i="4"/>
  <c r="D78" i="4" s="1"/>
  <c r="B79" i="4"/>
  <c r="D79" i="4" s="1"/>
  <c r="B80" i="4"/>
  <c r="D80" i="4" s="1"/>
  <c r="B81" i="4"/>
  <c r="D81" i="4" s="1"/>
  <c r="B82" i="4"/>
  <c r="D82" i="4" s="1"/>
  <c r="B83" i="4"/>
  <c r="D83" i="4" s="1"/>
  <c r="B84" i="4"/>
  <c r="D84" i="4" s="1"/>
  <c r="B85" i="4"/>
  <c r="D85" i="4" s="1"/>
  <c r="B86" i="4"/>
  <c r="D86" i="4" s="1"/>
  <c r="B87" i="4"/>
  <c r="D87" i="4" s="1"/>
  <c r="B88" i="4"/>
  <c r="D88" i="4" s="1"/>
  <c r="B89" i="4"/>
  <c r="D89" i="4" s="1"/>
  <c r="B90" i="4"/>
  <c r="D90" i="4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105" i="4"/>
  <c r="D105" i="4" s="1"/>
  <c r="B106" i="4"/>
  <c r="D106" i="4" s="1"/>
  <c r="B107" i="4"/>
  <c r="D107" i="4" s="1"/>
  <c r="B108" i="4"/>
  <c r="D108" i="4" s="1"/>
  <c r="B109" i="4"/>
  <c r="D109" i="4" s="1"/>
  <c r="B110" i="4"/>
  <c r="D110" i="4" s="1"/>
  <c r="B111" i="4"/>
  <c r="D111" i="4" s="1"/>
  <c r="B112" i="4"/>
  <c r="D112" i="4" s="1"/>
  <c r="B113" i="4"/>
  <c r="D113" i="4" s="1"/>
  <c r="B114" i="4"/>
  <c r="D114" i="4" s="1"/>
  <c r="B115" i="4"/>
  <c r="D115" i="4" s="1"/>
  <c r="B116" i="4"/>
  <c r="D116" i="4" s="1"/>
  <c r="B117" i="4"/>
  <c r="D117" i="4" s="1"/>
  <c r="B118" i="4"/>
  <c r="D118" i="4" s="1"/>
  <c r="B119" i="4"/>
  <c r="D119" i="4" s="1"/>
  <c r="B120" i="4"/>
  <c r="D120" i="4" s="1"/>
  <c r="B121" i="4"/>
  <c r="D121" i="4" s="1"/>
  <c r="B122" i="4"/>
  <c r="D122" i="4" s="1"/>
  <c r="B123" i="4"/>
  <c r="D123" i="4" s="1"/>
  <c r="B124" i="4"/>
  <c r="D124" i="4" s="1"/>
  <c r="B125" i="4"/>
  <c r="D125" i="4" s="1"/>
  <c r="B126" i="4"/>
  <c r="D126" i="4" s="1"/>
  <c r="B127" i="4"/>
  <c r="D127" i="4" s="1"/>
  <c r="B128" i="4"/>
  <c r="D128" i="4" s="1"/>
  <c r="B129" i="4"/>
  <c r="D129" i="4" s="1"/>
  <c r="B130" i="4"/>
  <c r="D130" i="4" s="1"/>
  <c r="B131" i="4"/>
  <c r="D131" i="4" s="1"/>
  <c r="B132" i="4"/>
  <c r="D132" i="4" s="1"/>
  <c r="B133" i="4"/>
  <c r="D133" i="4" s="1"/>
  <c r="B134" i="4"/>
  <c r="D134" i="4" s="1"/>
  <c r="B135" i="4"/>
  <c r="D135" i="4" s="1"/>
  <c r="B136" i="4"/>
  <c r="D136" i="4" s="1"/>
  <c r="B137" i="4"/>
  <c r="D137" i="4" s="1"/>
  <c r="B138" i="4"/>
  <c r="D138" i="4" s="1"/>
  <c r="B139" i="4"/>
  <c r="D139" i="4" s="1"/>
  <c r="B140" i="4"/>
  <c r="D140" i="4" s="1"/>
  <c r="B141" i="4"/>
  <c r="D141" i="4" s="1"/>
  <c r="B142" i="4"/>
  <c r="D142" i="4" s="1"/>
  <c r="B143" i="4"/>
  <c r="D143" i="4" s="1"/>
  <c r="B144" i="4"/>
  <c r="D144" i="4" s="1"/>
  <c r="B145" i="4"/>
  <c r="D145" i="4" s="1"/>
  <c r="B146" i="4"/>
  <c r="D146" i="4" s="1"/>
  <c r="B147" i="4"/>
  <c r="D147" i="4" s="1"/>
  <c r="B148" i="4"/>
  <c r="D148" i="4" s="1"/>
  <c r="B149" i="4"/>
  <c r="D149" i="4" s="1"/>
  <c r="B150" i="4"/>
  <c r="D150" i="4" s="1"/>
  <c r="B151" i="4"/>
  <c r="D151" i="4" s="1"/>
  <c r="B152" i="4"/>
  <c r="D152" i="4" s="1"/>
  <c r="B153" i="4"/>
  <c r="D153" i="4" s="1"/>
  <c r="B154" i="4"/>
  <c r="D154" i="4" s="1"/>
  <c r="B155" i="4"/>
  <c r="D155" i="4" s="1"/>
  <c r="B156" i="4"/>
  <c r="D156" i="4" s="1"/>
  <c r="B157" i="4"/>
  <c r="D157" i="4" s="1"/>
  <c r="B158" i="4"/>
  <c r="D158" i="4" s="1"/>
  <c r="B159" i="4"/>
  <c r="D159" i="4" s="1"/>
  <c r="B160" i="4"/>
  <c r="D160" i="4" s="1"/>
  <c r="B161" i="4"/>
  <c r="D161" i="4" s="1"/>
  <c r="B162" i="4"/>
  <c r="D162" i="4" s="1"/>
  <c r="B163" i="4"/>
  <c r="D163" i="4" s="1"/>
  <c r="B164" i="4"/>
  <c r="D164" i="4" s="1"/>
  <c r="B165" i="4"/>
  <c r="D165" i="4" s="1"/>
  <c r="B166" i="4"/>
  <c r="D166" i="4" s="1"/>
  <c r="B167" i="4"/>
  <c r="D167" i="4" s="1"/>
  <c r="B168" i="4"/>
  <c r="D168" i="4" s="1"/>
  <c r="B169" i="4"/>
  <c r="D169" i="4" s="1"/>
  <c r="B170" i="4"/>
  <c r="D170" i="4" s="1"/>
  <c r="B171" i="4"/>
  <c r="D171" i="4" s="1"/>
  <c r="B172" i="4"/>
  <c r="D172" i="4" s="1"/>
  <c r="B173" i="4"/>
  <c r="D173" i="4" s="1"/>
  <c r="B174" i="4"/>
  <c r="D174" i="4" s="1"/>
  <c r="B175" i="4"/>
  <c r="D175" i="4" s="1"/>
  <c r="B176" i="4"/>
  <c r="D176" i="4" s="1"/>
  <c r="B177" i="4"/>
  <c r="D177" i="4" s="1"/>
  <c r="B178" i="4"/>
  <c r="D178" i="4" s="1"/>
  <c r="B179" i="4"/>
  <c r="D179" i="4" s="1"/>
  <c r="B180" i="4"/>
  <c r="D180" i="4" s="1"/>
  <c r="B181" i="4"/>
  <c r="D181" i="4" s="1"/>
  <c r="B182" i="4"/>
  <c r="D182" i="4" s="1"/>
  <c r="B183" i="4"/>
  <c r="D183" i="4" s="1"/>
  <c r="B184" i="4"/>
  <c r="D184" i="4" s="1"/>
  <c r="B185" i="4"/>
  <c r="D185" i="4" s="1"/>
  <c r="B186" i="4"/>
  <c r="D186" i="4" s="1"/>
  <c r="B187" i="4"/>
  <c r="D187" i="4" s="1"/>
  <c r="B188" i="4"/>
  <c r="D188" i="4" s="1"/>
  <c r="B189" i="4"/>
  <c r="D189" i="4" s="1"/>
  <c r="B190" i="4"/>
  <c r="D190" i="4"/>
  <c r="B191" i="4"/>
  <c r="D191" i="4" s="1"/>
  <c r="B192" i="4"/>
  <c r="D192" i="4" s="1"/>
  <c r="B193" i="4"/>
  <c r="D193" i="4" s="1"/>
  <c r="B194" i="4"/>
  <c r="D194" i="4" s="1"/>
  <c r="B195" i="4"/>
  <c r="D195" i="4" s="1"/>
  <c r="B196" i="4"/>
  <c r="D196" i="4" s="1"/>
  <c r="B197" i="4"/>
  <c r="D197" i="4" s="1"/>
  <c r="B198" i="4"/>
  <c r="D198" i="4" s="1"/>
  <c r="B199" i="4"/>
  <c r="D199" i="4" s="1"/>
  <c r="B200" i="4"/>
  <c r="D200" i="4" s="1"/>
  <c r="B201" i="4"/>
  <c r="D201" i="4" s="1"/>
  <c r="B202" i="4"/>
  <c r="D202" i="4" s="1"/>
  <c r="B203" i="4"/>
  <c r="D203" i="4" s="1"/>
  <c r="B204" i="4"/>
  <c r="D204" i="4" s="1"/>
  <c r="B205" i="4"/>
  <c r="D205" i="4" s="1"/>
  <c r="B206" i="4"/>
  <c r="D206" i="4" s="1"/>
  <c r="B207" i="4"/>
  <c r="D207" i="4" s="1"/>
  <c r="B208" i="4"/>
  <c r="D208" i="4" s="1"/>
  <c r="B209" i="4"/>
  <c r="D209" i="4" s="1"/>
  <c r="B210" i="4"/>
  <c r="D210" i="4" s="1"/>
  <c r="B211" i="4"/>
  <c r="D211" i="4" s="1"/>
  <c r="B212" i="4"/>
  <c r="D212" i="4" s="1"/>
  <c r="B213" i="4"/>
  <c r="D213" i="4" s="1"/>
  <c r="B214" i="4"/>
  <c r="D214" i="4" s="1"/>
  <c r="B215" i="4"/>
  <c r="D215" i="4" s="1"/>
  <c r="B216" i="4"/>
  <c r="D216" i="4" s="1"/>
  <c r="B217" i="4"/>
  <c r="D217" i="4" s="1"/>
  <c r="B218" i="4"/>
  <c r="D218" i="4" s="1"/>
  <c r="B219" i="4"/>
  <c r="D219" i="4" s="1"/>
  <c r="B220" i="4"/>
  <c r="D220" i="4" s="1"/>
  <c r="B221" i="4"/>
  <c r="D221" i="4" s="1"/>
  <c r="B222" i="4"/>
  <c r="D222" i="4" s="1"/>
  <c r="B223" i="4"/>
  <c r="D223" i="4" s="1"/>
  <c r="B224" i="4"/>
  <c r="D224" i="4" s="1"/>
  <c r="B225" i="4"/>
  <c r="D225" i="4" s="1"/>
  <c r="B226" i="4"/>
  <c r="D226" i="4" s="1"/>
  <c r="B227" i="4"/>
  <c r="D227" i="4" s="1"/>
  <c r="B228" i="4"/>
  <c r="D228" i="4" s="1"/>
  <c r="B229" i="4"/>
  <c r="D229" i="4" s="1"/>
  <c r="B230" i="4"/>
  <c r="D230" i="4" s="1"/>
  <c r="B231" i="4"/>
  <c r="D231" i="4" s="1"/>
  <c r="B232" i="4"/>
  <c r="D232" i="4" s="1"/>
  <c r="B233" i="4"/>
  <c r="D233" i="4" s="1"/>
  <c r="B234" i="4"/>
  <c r="D234" i="4" s="1"/>
  <c r="B235" i="4"/>
  <c r="D235" i="4" s="1"/>
  <c r="B236" i="4"/>
  <c r="D236" i="4" s="1"/>
  <c r="B237" i="4"/>
  <c r="D237" i="4" s="1"/>
  <c r="B238" i="4"/>
  <c r="D238" i="4" s="1"/>
  <c r="B239" i="4"/>
  <c r="D239" i="4" s="1"/>
  <c r="B240" i="4"/>
  <c r="D240" i="4" s="1"/>
  <c r="B241" i="4"/>
  <c r="D241" i="4" s="1"/>
  <c r="B242" i="4"/>
  <c r="D242" i="4" s="1"/>
  <c r="B243" i="4"/>
  <c r="D243" i="4" s="1"/>
  <c r="B244" i="4"/>
  <c r="D244" i="4" s="1"/>
  <c r="B245" i="4"/>
  <c r="D245" i="4" s="1"/>
  <c r="B246" i="4"/>
  <c r="D246" i="4" s="1"/>
  <c r="B247" i="4"/>
  <c r="D247" i="4" s="1"/>
  <c r="B248" i="4"/>
  <c r="D248" i="4" s="1"/>
  <c r="B249" i="4"/>
  <c r="D249" i="4" s="1"/>
  <c r="B250" i="4"/>
  <c r="D250" i="4" s="1"/>
  <c r="B251" i="4"/>
  <c r="D251" i="4" s="1"/>
  <c r="B252" i="4"/>
  <c r="D252" i="4" s="1"/>
  <c r="B253" i="4"/>
  <c r="D253" i="4" s="1"/>
  <c r="B254" i="4"/>
  <c r="D254" i="4" s="1"/>
  <c r="B255" i="4"/>
  <c r="D255" i="4" s="1"/>
  <c r="B256" i="4"/>
  <c r="D256" i="4" s="1"/>
  <c r="B257" i="4"/>
  <c r="D257" i="4" s="1"/>
  <c r="B258" i="4"/>
  <c r="D258" i="4" s="1"/>
  <c r="B259" i="4"/>
  <c r="D259" i="4" s="1"/>
  <c r="B260" i="4"/>
  <c r="D260" i="4" s="1"/>
  <c r="B261" i="4"/>
  <c r="D261" i="4" s="1"/>
  <c r="B262" i="4"/>
  <c r="D262" i="4" s="1"/>
  <c r="B263" i="4"/>
  <c r="D263" i="4" s="1"/>
  <c r="B264" i="4"/>
  <c r="D264" i="4" s="1"/>
  <c r="B265" i="4"/>
  <c r="D265" i="4" s="1"/>
  <c r="B266" i="4"/>
  <c r="D266" i="4" s="1"/>
  <c r="B267" i="4"/>
  <c r="D267" i="4" s="1"/>
  <c r="B268" i="4"/>
  <c r="D268" i="4" s="1"/>
  <c r="B269" i="4"/>
  <c r="D269" i="4" s="1"/>
  <c r="B270" i="4"/>
  <c r="D270" i="4" s="1"/>
  <c r="B271" i="4"/>
  <c r="D271" i="4" s="1"/>
  <c r="B272" i="4"/>
  <c r="D272" i="4" s="1"/>
  <c r="B273" i="4"/>
  <c r="D273" i="4" s="1"/>
  <c r="B274" i="4"/>
  <c r="D274" i="4" s="1"/>
  <c r="B275" i="4"/>
  <c r="D275" i="4" s="1"/>
  <c r="B276" i="4"/>
  <c r="D276" i="4" s="1"/>
  <c r="B277" i="4"/>
  <c r="D277" i="4" s="1"/>
  <c r="B278" i="4"/>
  <c r="D278" i="4" s="1"/>
  <c r="B279" i="4"/>
  <c r="D279" i="4" s="1"/>
  <c r="B280" i="4"/>
  <c r="D280" i="4" s="1"/>
  <c r="B281" i="4"/>
  <c r="D281" i="4" s="1"/>
  <c r="B282" i="4"/>
  <c r="D282" i="4" s="1"/>
  <c r="B283" i="4"/>
  <c r="D283" i="4" s="1"/>
  <c r="B284" i="4"/>
  <c r="D284" i="4" s="1"/>
  <c r="B285" i="4"/>
  <c r="D285" i="4" s="1"/>
  <c r="C12" i="3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B19" i="3"/>
  <c r="B20" i="3"/>
  <c r="B21" i="3"/>
  <c r="B22" i="3"/>
  <c r="M92" i="12"/>
  <c r="N92" i="12" s="1"/>
  <c r="M91" i="12"/>
  <c r="O91" i="12" s="1"/>
  <c r="M90" i="12"/>
  <c r="N90" i="12" s="1"/>
  <c r="M89" i="12"/>
  <c r="O89" i="12" s="1"/>
  <c r="M88" i="12"/>
  <c r="O88" i="12" s="1"/>
  <c r="M87" i="12"/>
  <c r="O87" i="12" s="1"/>
  <c r="M86" i="12"/>
  <c r="O86" i="12" s="1"/>
  <c r="M85" i="12"/>
  <c r="O85" i="12" s="1"/>
  <c r="M84" i="12"/>
  <c r="N84" i="12" s="1"/>
  <c r="M83" i="12"/>
  <c r="N83" i="12" s="1"/>
  <c r="M82" i="12"/>
  <c r="O82" i="12" s="1"/>
  <c r="M81" i="12"/>
  <c r="O81" i="12" s="1"/>
  <c r="M80" i="12"/>
  <c r="N80" i="12" s="1"/>
  <c r="M79" i="12"/>
  <c r="O79" i="12" s="1"/>
  <c r="M78" i="12"/>
  <c r="O78" i="12" s="1"/>
  <c r="M77" i="12"/>
  <c r="O77" i="12" s="1"/>
  <c r="M76" i="12"/>
  <c r="N76" i="12" s="1"/>
  <c r="M75" i="12"/>
  <c r="N75" i="12" s="1"/>
  <c r="M74" i="12"/>
  <c r="N74" i="12" s="1"/>
  <c r="M73" i="12"/>
  <c r="O73" i="12" s="1"/>
  <c r="M72" i="12"/>
  <c r="O72" i="12" s="1"/>
  <c r="M71" i="12"/>
  <c r="N71" i="12" s="1"/>
  <c r="M70" i="12"/>
  <c r="O70" i="12" s="1"/>
  <c r="M69" i="12"/>
  <c r="N69" i="12" s="1"/>
  <c r="M68" i="12"/>
  <c r="N68" i="12" s="1"/>
  <c r="M67" i="12"/>
  <c r="O67" i="12" s="1"/>
  <c r="M66" i="12"/>
  <c r="N66" i="12" s="1"/>
  <c r="M65" i="12"/>
  <c r="N65" i="12" s="1"/>
  <c r="M64" i="12"/>
  <c r="N64" i="12" s="1"/>
  <c r="M63" i="12"/>
  <c r="O63" i="12" s="1"/>
  <c r="M62" i="12"/>
  <c r="O62" i="12" s="1"/>
  <c r="M61" i="12"/>
  <c r="N61" i="12" s="1"/>
  <c r="M60" i="12"/>
  <c r="N60" i="12" s="1"/>
  <c r="M59" i="12"/>
  <c r="N59" i="12" s="1"/>
  <c r="M58" i="12"/>
  <c r="O58" i="12" s="1"/>
  <c r="M57" i="12"/>
  <c r="O57" i="12" s="1"/>
  <c r="M56" i="12"/>
  <c r="O56" i="12" s="1"/>
  <c r="M55" i="12"/>
  <c r="O55" i="12" s="1"/>
  <c r="M54" i="12"/>
  <c r="N54" i="12" s="1"/>
  <c r="M53" i="12"/>
  <c r="N53" i="12" s="1"/>
  <c r="M52" i="12"/>
  <c r="O52" i="12" s="1"/>
  <c r="M51" i="12"/>
  <c r="O51" i="12" s="1"/>
  <c r="M50" i="12"/>
  <c r="N50" i="12" s="1"/>
  <c r="M49" i="12"/>
  <c r="N49" i="12" s="1"/>
  <c r="M48" i="12"/>
  <c r="O48" i="12" s="1"/>
  <c r="M47" i="12"/>
  <c r="O47" i="12" s="1"/>
  <c r="M46" i="12"/>
  <c r="O46" i="12" s="1"/>
  <c r="M45" i="12"/>
  <c r="N45" i="12" s="1"/>
  <c r="M44" i="12"/>
  <c r="O44" i="12" s="1"/>
  <c r="M43" i="12"/>
  <c r="N43" i="12" s="1"/>
  <c r="M41" i="12"/>
  <c r="O41" i="12" s="1"/>
  <c r="M42" i="12"/>
  <c r="O42" i="12" s="1"/>
  <c r="M38" i="12"/>
  <c r="N38" i="12" s="1"/>
  <c r="M37" i="12"/>
  <c r="N37" i="12" s="1"/>
  <c r="M36" i="12"/>
  <c r="O36" i="12" s="1"/>
  <c r="M35" i="12"/>
  <c r="N35" i="12" s="1"/>
  <c r="M34" i="12"/>
  <c r="N34" i="12" s="1"/>
  <c r="M33" i="12"/>
  <c r="N33" i="12" s="1"/>
  <c r="M32" i="12"/>
  <c r="O32" i="12" s="1"/>
  <c r="M31" i="12"/>
  <c r="O31" i="12" s="1"/>
  <c r="M30" i="12"/>
  <c r="N30" i="12" s="1"/>
  <c r="M29" i="12"/>
  <c r="O29" i="12" s="1"/>
  <c r="M28" i="12"/>
  <c r="N28" i="12" s="1"/>
  <c r="M27" i="12"/>
  <c r="O27" i="12" s="1"/>
  <c r="M26" i="12"/>
  <c r="O26" i="12" s="1"/>
  <c r="M25" i="12"/>
  <c r="N25" i="12" s="1"/>
  <c r="M24" i="12"/>
  <c r="O24" i="12" s="1"/>
  <c r="M23" i="12"/>
  <c r="O23" i="12" s="1"/>
  <c r="M22" i="12"/>
  <c r="N22" i="12" s="1"/>
  <c r="M21" i="12"/>
  <c r="N21" i="12" s="1"/>
  <c r="M20" i="12"/>
  <c r="O20" i="12" s="1"/>
  <c r="M19" i="12"/>
  <c r="N19" i="12" s="1"/>
  <c r="M18" i="12"/>
  <c r="N18" i="12" s="1"/>
  <c r="M17" i="12"/>
  <c r="N17" i="12" s="1"/>
  <c r="M16" i="12"/>
  <c r="O16" i="12" s="1"/>
  <c r="M15" i="12"/>
  <c r="N15" i="12" s="1"/>
  <c r="M14" i="12"/>
  <c r="N14" i="12" s="1"/>
  <c r="M13" i="12"/>
  <c r="O13" i="12" s="1"/>
  <c r="M12" i="12"/>
  <c r="N12" i="12" s="1"/>
  <c r="M11" i="12"/>
  <c r="O11" i="12" s="1"/>
  <c r="M10" i="12"/>
  <c r="O10" i="12" s="1"/>
  <c r="M9" i="12"/>
  <c r="O9" i="12" s="1"/>
  <c r="M8" i="12"/>
  <c r="O8" i="12" s="1"/>
  <c r="M7" i="12"/>
  <c r="O7" i="12" s="1"/>
  <c r="M6" i="12"/>
  <c r="N6" i="12" s="1"/>
  <c r="M5" i="12"/>
  <c r="N5" i="12" s="1"/>
  <c r="B12" i="3"/>
  <c r="B9" i="7"/>
  <c r="C9" i="7" s="1"/>
  <c r="B19" i="4"/>
  <c r="D19" i="4" s="1"/>
  <c r="B18" i="4"/>
  <c r="D18" i="4" s="1"/>
  <c r="B17" i="4"/>
  <c r="D17" i="4" s="1"/>
  <c r="B16" i="4"/>
  <c r="D16" i="4" s="1"/>
  <c r="B15" i="4"/>
  <c r="D15" i="4" s="1"/>
  <c r="B14" i="4"/>
  <c r="D14" i="4" s="1"/>
  <c r="C13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B13" i="4"/>
  <c r="D13" i="4" s="1"/>
  <c r="B13" i="3"/>
  <c r="B14" i="3"/>
  <c r="B15" i="3"/>
  <c r="B16" i="3"/>
  <c r="B17" i="3"/>
  <c r="B18" i="3"/>
  <c r="B10" i="7" l="1"/>
  <c r="C37" i="21"/>
  <c r="E20" i="28" s="1"/>
  <c r="E17" i="28" s="1"/>
  <c r="C10" i="7"/>
  <c r="B11" i="7"/>
  <c r="AJ15" i="11"/>
  <c r="E19" i="2"/>
  <c r="C31" i="20" s="1"/>
  <c r="D6" i="2"/>
  <c r="D5" i="2"/>
  <c r="E16" i="2"/>
  <c r="G19" i="2"/>
  <c r="D5" i="22"/>
  <c r="D6" i="22"/>
  <c r="O61" i="12"/>
  <c r="O76" i="12"/>
  <c r="O92" i="12"/>
  <c r="O5" i="12"/>
  <c r="N13" i="12"/>
  <c r="O43" i="12"/>
  <c r="N52" i="12"/>
  <c r="O45" i="12"/>
  <c r="N7" i="12"/>
  <c r="N81" i="12"/>
  <c r="N58" i="12"/>
  <c r="N62" i="12"/>
  <c r="N89" i="12"/>
  <c r="N79" i="12"/>
  <c r="O50" i="12"/>
  <c r="O59" i="12"/>
  <c r="N85" i="12"/>
  <c r="O64" i="12"/>
  <c r="N31" i="12"/>
  <c r="N73" i="12"/>
  <c r="N77" i="12"/>
  <c r="O68" i="12"/>
  <c r="N87" i="12"/>
  <c r="O25" i="12"/>
  <c r="O37" i="12"/>
  <c r="O66" i="12"/>
  <c r="O80" i="12"/>
  <c r="O83" i="12"/>
  <c r="O74" i="12"/>
  <c r="N11" i="12"/>
  <c r="O90" i="12"/>
  <c r="O12" i="12"/>
  <c r="N48" i="12"/>
  <c r="N9" i="12"/>
  <c r="O15" i="12"/>
  <c r="N56" i="12"/>
  <c r="O21" i="12"/>
  <c r="N29" i="12"/>
  <c r="O18" i="12"/>
  <c r="N23" i="12"/>
  <c r="O49" i="12"/>
  <c r="O34" i="12"/>
  <c r="N27" i="12"/>
  <c r="N41" i="12"/>
  <c r="N46" i="12"/>
  <c r="O19" i="12"/>
  <c r="O35" i="12"/>
  <c r="N91" i="12"/>
  <c r="O71" i="12"/>
  <c r="O14" i="12"/>
  <c r="O17" i="12"/>
  <c r="O33" i="12"/>
  <c r="O60" i="12"/>
  <c r="N44" i="12"/>
  <c r="O54" i="12"/>
  <c r="O75" i="12"/>
  <c r="O65" i="12"/>
  <c r="O28" i="12"/>
  <c r="O30" i="12"/>
  <c r="N8" i="12"/>
  <c r="N16" i="12"/>
  <c r="N20" i="12"/>
  <c r="N24" i="12"/>
  <c r="N32" i="12"/>
  <c r="N36" i="12"/>
  <c r="N47" i="12"/>
  <c r="N51" i="12"/>
  <c r="N55" i="12"/>
  <c r="N63" i="12"/>
  <c r="N67" i="12"/>
  <c r="N70" i="12"/>
  <c r="N78" i="12"/>
  <c r="N82" i="12"/>
  <c r="N86" i="12"/>
  <c r="O84" i="12"/>
  <c r="O69" i="12"/>
  <c r="O53" i="12"/>
  <c r="O38" i="12"/>
  <c r="O22" i="12"/>
  <c r="O6" i="12"/>
  <c r="N10" i="12"/>
  <c r="N26" i="12"/>
  <c r="N42" i="12"/>
  <c r="N57" i="12"/>
  <c r="N72" i="12"/>
  <c r="N88" i="12"/>
  <c r="E14" i="2"/>
  <c r="C21" i="21"/>
  <c r="E8" i="22"/>
  <c r="E9" i="22" s="1"/>
  <c r="F11" i="2"/>
  <c r="B2" i="2"/>
  <c r="F13" i="2"/>
  <c r="F14" i="2" s="1"/>
  <c r="C21" i="20"/>
  <c r="E8" i="2"/>
  <c r="D8" i="2" s="1"/>
  <c r="G26" i="2" s="1"/>
  <c r="D39" i="20" s="1"/>
  <c r="B2" i="22"/>
  <c r="D28" i="3"/>
  <c r="E28" i="3" s="1"/>
  <c r="D212" i="3"/>
  <c r="E212" i="3" s="1"/>
  <c r="D146" i="3"/>
  <c r="E146" i="3" s="1"/>
  <c r="D209" i="3"/>
  <c r="E209" i="3" s="1"/>
  <c r="D62" i="3"/>
  <c r="E62" i="3" s="1"/>
  <c r="D91" i="3"/>
  <c r="E91" i="3" s="1"/>
  <c r="D51" i="3"/>
  <c r="E51" i="3" s="1"/>
  <c r="D23" i="3"/>
  <c r="E23" i="3" s="1"/>
  <c r="D42" i="3"/>
  <c r="E42" i="3" s="1"/>
  <c r="D101" i="3"/>
  <c r="E101" i="3" s="1"/>
  <c r="D40" i="3"/>
  <c r="E40" i="3" s="1"/>
  <c r="D139" i="3"/>
  <c r="E139" i="3" s="1"/>
  <c r="D61" i="3"/>
  <c r="E61" i="3" s="1"/>
  <c r="D86" i="3"/>
  <c r="E86" i="3" s="1"/>
  <c r="D137" i="3"/>
  <c r="E137" i="3" s="1"/>
  <c r="D24" i="3"/>
  <c r="E24" i="3" s="1"/>
  <c r="D97" i="3"/>
  <c r="E97" i="3" s="1"/>
  <c r="D115" i="3"/>
  <c r="E115" i="3" s="1"/>
  <c r="D182" i="3"/>
  <c r="E182" i="3" s="1"/>
  <c r="D52" i="3"/>
  <c r="E52" i="3" s="1"/>
  <c r="D156" i="3"/>
  <c r="E156" i="3" s="1"/>
  <c r="D21" i="3"/>
  <c r="E21" i="3" s="1"/>
  <c r="D164" i="3"/>
  <c r="E164" i="3" s="1"/>
  <c r="D175" i="3"/>
  <c r="E175" i="3" s="1"/>
  <c r="D178" i="3"/>
  <c r="E178" i="3" s="1"/>
  <c r="D120" i="3"/>
  <c r="E120" i="3" s="1"/>
  <c r="D159" i="3"/>
  <c r="E159" i="3" s="1"/>
  <c r="D88" i="3"/>
  <c r="E88" i="3" s="1"/>
  <c r="D190" i="3"/>
  <c r="E190" i="3" s="1"/>
  <c r="D20" i="3"/>
  <c r="E20" i="3" s="1"/>
  <c r="D151" i="3"/>
  <c r="E151" i="3" s="1"/>
  <c r="D133" i="3"/>
  <c r="E133" i="3" s="1"/>
  <c r="D34" i="3"/>
  <c r="E34" i="3" s="1"/>
  <c r="D140" i="3"/>
  <c r="E140" i="3" s="1"/>
  <c r="D112" i="3"/>
  <c r="E112" i="3" s="1"/>
  <c r="D38" i="3"/>
  <c r="E38" i="3" s="1"/>
  <c r="D195" i="3"/>
  <c r="E195" i="3" s="1"/>
  <c r="D183" i="3"/>
  <c r="E183" i="3" s="1"/>
  <c r="D201" i="3"/>
  <c r="E201" i="3" s="1"/>
  <c r="D87" i="3"/>
  <c r="E87" i="3" s="1"/>
  <c r="D117" i="3"/>
  <c r="E117" i="3" s="1"/>
  <c r="D63" i="3"/>
  <c r="E63" i="3" s="1"/>
  <c r="D193" i="3"/>
  <c r="E193" i="3" s="1"/>
  <c r="D192" i="3"/>
  <c r="E192" i="3" s="1"/>
  <c r="D33" i="3"/>
  <c r="E33" i="3" s="1"/>
  <c r="D19" i="3"/>
  <c r="E19" i="3" s="1"/>
  <c r="D43" i="3"/>
  <c r="E43" i="3" s="1"/>
  <c r="D132" i="3"/>
  <c r="E132" i="3" s="1"/>
  <c r="D60" i="3"/>
  <c r="E60" i="3" s="1"/>
  <c r="D194" i="3"/>
  <c r="E194" i="3" s="1"/>
  <c r="D78" i="3"/>
  <c r="E78" i="3" s="1"/>
  <c r="D129" i="3"/>
  <c r="E129" i="3" s="1"/>
  <c r="D184" i="3"/>
  <c r="E184" i="3" s="1"/>
  <c r="D144" i="3"/>
  <c r="E144" i="3" s="1"/>
  <c r="D79" i="3"/>
  <c r="E79" i="3" s="1"/>
  <c r="D188" i="3"/>
  <c r="E188" i="3" s="1"/>
  <c r="D114" i="3"/>
  <c r="E114" i="3" s="1"/>
  <c r="D73" i="3"/>
  <c r="E73" i="3" s="1"/>
  <c r="D166" i="3"/>
  <c r="E166" i="3" s="1"/>
  <c r="D84" i="3"/>
  <c r="E84" i="3" s="1"/>
  <c r="D202" i="3"/>
  <c r="E202" i="3" s="1"/>
  <c r="D162" i="3"/>
  <c r="E162" i="3" s="1"/>
  <c r="D80" i="3"/>
  <c r="E80" i="3" s="1"/>
  <c r="D30" i="3"/>
  <c r="E30" i="3" s="1"/>
  <c r="D131" i="3"/>
  <c r="E131" i="3" s="1"/>
  <c r="D150" i="3"/>
  <c r="E150" i="3" s="1"/>
  <c r="D58" i="3"/>
  <c r="E58" i="3" s="1"/>
  <c r="D77" i="3"/>
  <c r="E77" i="3" s="1"/>
  <c r="D127" i="3"/>
  <c r="E127" i="3" s="1"/>
  <c r="D180" i="3"/>
  <c r="E180" i="3" s="1"/>
  <c r="D165" i="3"/>
  <c r="E165" i="3" s="1"/>
  <c r="D125" i="3"/>
  <c r="E125" i="3" s="1"/>
  <c r="D152" i="3"/>
  <c r="E152" i="3" s="1"/>
  <c r="D136" i="3"/>
  <c r="E136" i="3" s="1"/>
  <c r="D36" i="3"/>
  <c r="E36" i="3" s="1"/>
  <c r="D11" i="3"/>
  <c r="E11" i="3" s="1"/>
  <c r="D81" i="3"/>
  <c r="E81" i="3" s="1"/>
  <c r="D56" i="3"/>
  <c r="E56" i="3" s="1"/>
  <c r="D44" i="3"/>
  <c r="E44" i="3" s="1"/>
  <c r="D41" i="3"/>
  <c r="E41" i="3" s="1"/>
  <c r="D49" i="3"/>
  <c r="E49" i="3" s="1"/>
  <c r="D39" i="3"/>
  <c r="E39" i="3" s="1"/>
  <c r="D72" i="3"/>
  <c r="E72" i="3" s="1"/>
  <c r="D171" i="3"/>
  <c r="E171" i="3" s="1"/>
  <c r="D69" i="3"/>
  <c r="E69" i="3" s="1"/>
  <c r="D68" i="3"/>
  <c r="E68" i="3" s="1"/>
  <c r="D191" i="3"/>
  <c r="E191" i="3" s="1"/>
  <c r="D29" i="3"/>
  <c r="E29" i="3" s="1"/>
  <c r="D64" i="3"/>
  <c r="E64" i="3" s="1"/>
  <c r="D108" i="3"/>
  <c r="E108" i="3" s="1"/>
  <c r="D198" i="3"/>
  <c r="E198" i="3" s="1"/>
  <c r="D185" i="3"/>
  <c r="E185" i="3" s="1"/>
  <c r="D32" i="3"/>
  <c r="E32" i="3" s="1"/>
  <c r="D25" i="3"/>
  <c r="E25" i="3" s="1"/>
  <c r="D208" i="3"/>
  <c r="E208" i="3" s="1"/>
  <c r="D107" i="3"/>
  <c r="E107" i="3" s="1"/>
  <c r="D100" i="3"/>
  <c r="E100" i="3" s="1"/>
  <c r="D210" i="3"/>
  <c r="E210" i="3" s="1"/>
  <c r="D31" i="3"/>
  <c r="E31" i="3" s="1"/>
  <c r="D121" i="3"/>
  <c r="E121" i="3" s="1"/>
  <c r="D113" i="3"/>
  <c r="E113" i="3" s="1"/>
  <c r="D116" i="3"/>
  <c r="E116" i="3" s="1"/>
  <c r="D186" i="3"/>
  <c r="E186" i="3" s="1"/>
  <c r="D47" i="3"/>
  <c r="E47" i="3" s="1"/>
  <c r="D205" i="3"/>
  <c r="E205" i="3" s="1"/>
  <c r="D179" i="3"/>
  <c r="E179" i="3" s="1"/>
  <c r="D95" i="3"/>
  <c r="E95" i="3" s="1"/>
  <c r="D71" i="3"/>
  <c r="E71" i="3" s="1"/>
  <c r="D148" i="3"/>
  <c r="E148" i="3" s="1"/>
  <c r="D143" i="3"/>
  <c r="E143" i="3" s="1"/>
  <c r="D170" i="3"/>
  <c r="E170" i="3" s="1"/>
  <c r="D204" i="3"/>
  <c r="E204" i="3" s="1"/>
  <c r="D163" i="3"/>
  <c r="E163" i="3" s="1"/>
  <c r="D130" i="3"/>
  <c r="E130" i="3" s="1"/>
  <c r="D189" i="3"/>
  <c r="E189" i="3" s="1"/>
  <c r="D167" i="3"/>
  <c r="E167" i="3" s="1"/>
  <c r="D70" i="3"/>
  <c r="E70" i="3" s="1"/>
  <c r="D57" i="3"/>
  <c r="E57" i="3" s="1"/>
  <c r="D89" i="3"/>
  <c r="E89" i="3" s="1"/>
  <c r="D172" i="3"/>
  <c r="E172" i="3" s="1"/>
  <c r="D27" i="3"/>
  <c r="E27" i="3" s="1"/>
  <c r="D22" i="3"/>
  <c r="E22" i="3" s="1"/>
  <c r="D90" i="3"/>
  <c r="E90" i="3" s="1"/>
  <c r="D149" i="3"/>
  <c r="E149" i="3" s="1"/>
  <c r="D55" i="3"/>
  <c r="E55" i="3" s="1"/>
  <c r="D50" i="3"/>
  <c r="E50" i="3" s="1"/>
  <c r="D109" i="3"/>
  <c r="E109" i="3" s="1"/>
  <c r="D54" i="3"/>
  <c r="E54" i="3" s="1"/>
  <c r="D111" i="3"/>
  <c r="E111" i="3" s="1"/>
  <c r="D126" i="3"/>
  <c r="E126" i="3" s="1"/>
  <c r="D181" i="3"/>
  <c r="E181" i="3" s="1"/>
  <c r="D103" i="3"/>
  <c r="E103" i="3" s="1"/>
  <c r="D142" i="3"/>
  <c r="E142" i="3" s="1"/>
  <c r="D67" i="3"/>
  <c r="E67" i="3" s="1"/>
  <c r="D119" i="3"/>
  <c r="E119" i="3" s="1"/>
  <c r="D135" i="3"/>
  <c r="E135" i="3" s="1"/>
  <c r="D177" i="3"/>
  <c r="E177" i="3" s="1"/>
  <c r="D26" i="3"/>
  <c r="E26" i="3" s="1"/>
  <c r="D75" i="3"/>
  <c r="E75" i="3" s="1"/>
  <c r="D187" i="3"/>
  <c r="E187" i="3" s="1"/>
  <c r="D65" i="3"/>
  <c r="E65" i="3" s="1"/>
  <c r="D176" i="3"/>
  <c r="E176" i="3" s="1"/>
  <c r="D83" i="3"/>
  <c r="E83" i="3" s="1"/>
  <c r="D153" i="3"/>
  <c r="E153" i="3" s="1"/>
  <c r="D48" i="3"/>
  <c r="E48" i="3" s="1"/>
  <c r="D203" i="3"/>
  <c r="E203" i="3" s="1"/>
  <c r="D138" i="3"/>
  <c r="E138" i="3" s="1"/>
  <c r="D197" i="3"/>
  <c r="E197" i="3" s="1"/>
  <c r="D35" i="3"/>
  <c r="E35" i="3" s="1"/>
  <c r="D98" i="3"/>
  <c r="E98" i="3" s="1"/>
  <c r="D157" i="3"/>
  <c r="E157" i="3" s="1"/>
  <c r="D15" i="3"/>
  <c r="E15" i="3" s="1"/>
  <c r="D96" i="3"/>
  <c r="E96" i="3" s="1"/>
  <c r="D147" i="3"/>
  <c r="E147" i="3" s="1"/>
  <c r="D17" i="3"/>
  <c r="E17" i="3" s="1"/>
  <c r="D118" i="3"/>
  <c r="E118" i="3" s="1"/>
  <c r="D160" i="3"/>
  <c r="E160" i="3" s="1"/>
  <c r="D18" i="3"/>
  <c r="E18" i="3" s="1"/>
  <c r="D53" i="3"/>
  <c r="E53" i="3" s="1"/>
  <c r="D124" i="3"/>
  <c r="E124" i="3" s="1"/>
  <c r="D199" i="3"/>
  <c r="E199" i="3" s="1"/>
  <c r="D134" i="3"/>
  <c r="E134" i="3" s="1"/>
  <c r="D110" i="3"/>
  <c r="E110" i="3" s="1"/>
  <c r="D155" i="3"/>
  <c r="E155" i="3" s="1"/>
  <c r="D158" i="3"/>
  <c r="E158" i="3" s="1"/>
  <c r="D174" i="3"/>
  <c r="E174" i="3" s="1"/>
  <c r="D74" i="3"/>
  <c r="E74" i="3" s="1"/>
  <c r="D168" i="3"/>
  <c r="E168" i="3" s="1"/>
  <c r="D93" i="3"/>
  <c r="E93" i="3" s="1"/>
  <c r="D206" i="3"/>
  <c r="E206" i="3" s="1"/>
  <c r="D169" i="3"/>
  <c r="E169" i="3" s="1"/>
  <c r="D161" i="3"/>
  <c r="E161" i="3" s="1"/>
  <c r="D122" i="3"/>
  <c r="E122" i="3" s="1"/>
  <c r="D141" i="3"/>
  <c r="E141" i="3" s="1"/>
  <c r="D200" i="3"/>
  <c r="E200" i="3" s="1"/>
  <c r="D14" i="3"/>
  <c r="E14" i="3" s="1"/>
  <c r="D37" i="3"/>
  <c r="E37" i="3" s="1"/>
  <c r="D211" i="3"/>
  <c r="E211" i="3" s="1"/>
  <c r="D59" i="3"/>
  <c r="E59" i="3" s="1"/>
  <c r="D46" i="3"/>
  <c r="E46" i="3" s="1"/>
  <c r="D154" i="3"/>
  <c r="E154" i="3" s="1"/>
  <c r="D99" i="3"/>
  <c r="E99" i="3" s="1"/>
  <c r="D173" i="3"/>
  <c r="E173" i="3" s="1"/>
  <c r="D13" i="3"/>
  <c r="E13" i="3" s="1"/>
  <c r="D12" i="3"/>
  <c r="E12" i="3" s="1"/>
  <c r="D92" i="3"/>
  <c r="E92" i="3" s="1"/>
  <c r="D207" i="3"/>
  <c r="E207" i="3" s="1"/>
  <c r="D196" i="3"/>
  <c r="E196" i="3" s="1"/>
  <c r="D76" i="3"/>
  <c r="E76" i="3" s="1"/>
  <c r="D16" i="3"/>
  <c r="E16" i="3" s="1"/>
  <c r="D102" i="3"/>
  <c r="E102" i="3" s="1"/>
  <c r="D82" i="3"/>
  <c r="E82" i="3" s="1"/>
  <c r="D128" i="3"/>
  <c r="E128" i="3" s="1"/>
  <c r="D104" i="3"/>
  <c r="E104" i="3" s="1"/>
  <c r="D94" i="3"/>
  <c r="E94" i="3" s="1"/>
  <c r="D106" i="3"/>
  <c r="E106" i="3" s="1"/>
  <c r="D66" i="3"/>
  <c r="E66" i="3" s="1"/>
  <c r="D145" i="3"/>
  <c r="E145" i="3" s="1"/>
  <c r="D123" i="3"/>
  <c r="E123" i="3" s="1"/>
  <c r="D105" i="3"/>
  <c r="E105" i="3" s="1"/>
  <c r="D85" i="3"/>
  <c r="E85" i="3" s="1"/>
  <c r="D45" i="3"/>
  <c r="E45" i="3" s="1"/>
  <c r="H28" i="34" l="1"/>
  <c r="H15" i="30"/>
  <c r="H27" i="34"/>
  <c r="H14" i="30"/>
  <c r="H21" i="24"/>
  <c r="E26" i="2"/>
  <c r="G21" i="22"/>
  <c r="D33" i="21" s="1"/>
  <c r="E21" i="2"/>
  <c r="C33" i="20" s="1"/>
  <c r="G21" i="2"/>
  <c r="G20" i="2"/>
  <c r="D32" i="20" s="1"/>
  <c r="E20" i="2"/>
  <c r="C32" i="20" s="1"/>
  <c r="G18" i="2"/>
  <c r="D30" i="20" s="1"/>
  <c r="B12" i="7"/>
  <c r="C11" i="7"/>
  <c r="E21" i="22"/>
  <c r="C33" i="21" s="1"/>
  <c r="D31" i="20"/>
  <c r="E3" i="2"/>
  <c r="C37" i="20"/>
  <c r="F11" i="22"/>
  <c r="F9" i="22"/>
  <c r="D8" i="22"/>
  <c r="F8" i="22"/>
  <c r="E9" i="2"/>
  <c r="F9" i="2" s="1"/>
  <c r="F8" i="2"/>
  <c r="H16" i="30" l="1"/>
  <c r="E21" i="30" s="1"/>
  <c r="E17" i="30" s="1"/>
  <c r="E28" i="34" s="1"/>
  <c r="H29" i="34"/>
  <c r="E16" i="24"/>
  <c r="E18" i="34" s="1"/>
  <c r="B17" i="28"/>
  <c r="E26" i="22"/>
  <c r="C39" i="21" s="1"/>
  <c r="G26" i="22"/>
  <c r="D39" i="21" s="1"/>
  <c r="B13" i="7"/>
  <c r="C12" i="7"/>
  <c r="D33" i="20"/>
  <c r="C39" i="20"/>
  <c r="B17" i="30" l="1"/>
  <c r="E27" i="30"/>
  <c r="B16" i="24"/>
  <c r="B14" i="7"/>
  <c r="C13" i="7"/>
  <c r="C14" i="7" l="1"/>
  <c r="B15" i="7"/>
  <c r="B16" i="7" l="1"/>
  <c r="C15" i="7"/>
  <c r="B17" i="7" l="1"/>
  <c r="C16" i="7"/>
  <c r="B18" i="7" l="1"/>
  <c r="C17" i="7"/>
  <c r="C18" i="7" l="1"/>
  <c r="B19" i="7"/>
  <c r="E18" i="2"/>
  <c r="C30" i="20" s="1"/>
  <c r="B20" i="7" l="1"/>
  <c r="C19" i="7"/>
  <c r="E42" i="2" l="1"/>
  <c r="C20" i="7"/>
  <c r="B21" i="7"/>
  <c r="B22" i="7" l="1"/>
  <c r="C21" i="7"/>
  <c r="C22" i="7" l="1"/>
  <c r="B23" i="7"/>
  <c r="B24" i="7" l="1"/>
  <c r="C23" i="7"/>
  <c r="B25" i="7" l="1"/>
  <c r="C24" i="7"/>
  <c r="B26" i="7" l="1"/>
  <c r="C25" i="7"/>
  <c r="C26" i="7" l="1"/>
  <c r="B27" i="7"/>
  <c r="B28" i="7" l="1"/>
  <c r="C27" i="7"/>
  <c r="B29" i="7" l="1"/>
  <c r="C28" i="7"/>
  <c r="B30" i="7" l="1"/>
  <c r="C29" i="7"/>
  <c r="C30" i="7" l="1"/>
  <c r="B31" i="7"/>
  <c r="C31" i="7" l="1"/>
  <c r="B32" i="7"/>
  <c r="B33" i="7" l="1"/>
  <c r="C32" i="7"/>
  <c r="B34" i="7" l="1"/>
  <c r="C33" i="7"/>
  <c r="C34" i="7" l="1"/>
  <c r="B35" i="7"/>
  <c r="B36" i="7" l="1"/>
  <c r="C35" i="7"/>
  <c r="B37" i="7" l="1"/>
  <c r="C36" i="7"/>
  <c r="C37" i="7" l="1"/>
  <c r="B38" i="7"/>
  <c r="B39" i="7" l="1"/>
  <c r="C38" i="7"/>
  <c r="C39" i="7" l="1"/>
  <c r="B40" i="7"/>
  <c r="C40" i="7" l="1"/>
  <c r="B41" i="7"/>
  <c r="B42" i="7" l="1"/>
  <c r="C41" i="7"/>
  <c r="C42" i="7" l="1"/>
  <c r="B43" i="7"/>
  <c r="B44" i="7" l="1"/>
  <c r="C43" i="7"/>
  <c r="B45" i="7" l="1"/>
  <c r="C44" i="7"/>
  <c r="C45" i="7" l="1"/>
  <c r="B46" i="7"/>
  <c r="B47" i="7" l="1"/>
  <c r="C46" i="7"/>
  <c r="C47" i="7" l="1"/>
  <c r="B48" i="7"/>
  <c r="C48" i="7" l="1"/>
  <c r="B49" i="7"/>
  <c r="C49" i="7" l="1"/>
  <c r="B50" i="7"/>
  <c r="B51" i="7" l="1"/>
  <c r="C50" i="7"/>
  <c r="B52" i="7" l="1"/>
  <c r="C51" i="7"/>
  <c r="C52" i="7" l="1"/>
  <c r="B53" i="7"/>
  <c r="B54" i="7" l="1"/>
  <c r="C53" i="7"/>
  <c r="C54" i="7" l="1"/>
  <c r="B55" i="7"/>
  <c r="B56" i="7" l="1"/>
  <c r="C55" i="7"/>
  <c r="B57" i="7" l="1"/>
  <c r="C56" i="7"/>
  <c r="B58" i="7" l="1"/>
  <c r="C57" i="7"/>
  <c r="B59" i="7" l="1"/>
  <c r="C58" i="7"/>
  <c r="C59" i="7" l="1"/>
  <c r="B60" i="7"/>
  <c r="B61" i="7" l="1"/>
  <c r="C60" i="7"/>
  <c r="C61" i="7" l="1"/>
  <c r="B62" i="7"/>
  <c r="B63" i="7" l="1"/>
  <c r="C62" i="7"/>
  <c r="C63" i="7" l="1"/>
  <c r="B64" i="7"/>
  <c r="C64" i="7" l="1"/>
  <c r="B65" i="7"/>
  <c r="B66" i="7" l="1"/>
  <c r="C65" i="7"/>
  <c r="C66" i="7" l="1"/>
  <c r="B67" i="7"/>
  <c r="B68" i="7" l="1"/>
  <c r="C67" i="7"/>
  <c r="C68" i="7" l="1"/>
  <c r="B69" i="7"/>
  <c r="C69" i="7" l="1"/>
  <c r="B70" i="7"/>
  <c r="C70" i="7" l="1"/>
  <c r="B71" i="7"/>
  <c r="C71" i="7" l="1"/>
  <c r="B72" i="7"/>
  <c r="B73" i="7" l="1"/>
  <c r="C72" i="7"/>
  <c r="B74" i="7" l="1"/>
  <c r="C73" i="7"/>
  <c r="C74" i="7" l="1"/>
  <c r="B75" i="7"/>
  <c r="B76" i="7" l="1"/>
  <c r="C75" i="7"/>
  <c r="C76" i="7" l="1"/>
  <c r="B77" i="7"/>
  <c r="B78" i="7" l="1"/>
  <c r="C77" i="7"/>
  <c r="C78" i="7" l="1"/>
  <c r="B79" i="7"/>
  <c r="B80" i="7" l="1"/>
  <c r="C79" i="7"/>
  <c r="B81" i="7" l="1"/>
  <c r="C80" i="7"/>
  <c r="C81" i="7" l="1"/>
  <c r="B82" i="7"/>
  <c r="B83" i="7" l="1"/>
  <c r="C82" i="7"/>
  <c r="C83" i="7" l="1"/>
  <c r="B84" i="7"/>
  <c r="C84" i="7" l="1"/>
  <c r="B85" i="7"/>
  <c r="C85" i="7" l="1"/>
  <c r="B86" i="7"/>
  <c r="C86" i="7" l="1"/>
  <c r="B87" i="7"/>
  <c r="C87" i="7" l="1"/>
  <c r="B88" i="7"/>
  <c r="B89" i="7" l="1"/>
  <c r="C88" i="7"/>
  <c r="B90" i="7" l="1"/>
  <c r="C89" i="7"/>
  <c r="C90" i="7" l="1"/>
  <c r="B91" i="7"/>
  <c r="B92" i="7" l="1"/>
  <c r="C91" i="7"/>
  <c r="C92" i="7" l="1"/>
  <c r="B93" i="7"/>
  <c r="B94" i="7" l="1"/>
  <c r="C93" i="7"/>
  <c r="B95" i="7" l="1"/>
  <c r="C94" i="7"/>
  <c r="B96" i="7" l="1"/>
  <c r="C95" i="7"/>
  <c r="B97" i="7" l="1"/>
  <c r="C96" i="7"/>
  <c r="C97" i="7" l="1"/>
  <c r="B98" i="7"/>
  <c r="B99" i="7" l="1"/>
  <c r="C98" i="7"/>
  <c r="C99" i="7" l="1"/>
  <c r="B100" i="7"/>
  <c r="C100" i="7" l="1"/>
  <c r="B101" i="7"/>
  <c r="C101" i="7" l="1"/>
  <c r="B102" i="7"/>
  <c r="B103" i="7" l="1"/>
  <c r="C102" i="7"/>
  <c r="C103" i="7" l="1"/>
  <c r="B104" i="7"/>
  <c r="C104" i="7" l="1"/>
  <c r="B105" i="7"/>
  <c r="C105" i="7" l="1"/>
  <c r="B106" i="7"/>
  <c r="C106" i="7" l="1"/>
  <c r="B107" i="7"/>
  <c r="B108" i="7" l="1"/>
  <c r="C107" i="7"/>
  <c r="B109" i="7" l="1"/>
  <c r="C108" i="7"/>
  <c r="B110" i="7" l="1"/>
  <c r="C109" i="7"/>
  <c r="C110" i="7" l="1"/>
  <c r="B111" i="7"/>
  <c r="B112" i="7" l="1"/>
  <c r="C111" i="7"/>
  <c r="B113" i="7" l="1"/>
  <c r="C112" i="7"/>
  <c r="B114" i="7" l="1"/>
  <c r="C113" i="7"/>
  <c r="C114" i="7" l="1"/>
  <c r="B115" i="7"/>
  <c r="B116" i="7" l="1"/>
  <c r="C115" i="7"/>
  <c r="B117" i="7" l="1"/>
  <c r="C116" i="7"/>
  <c r="C117" i="7" l="1"/>
  <c r="B118" i="7"/>
  <c r="C118" i="7" l="1"/>
  <c r="B119" i="7"/>
  <c r="C119" i="7" l="1"/>
  <c r="B120" i="7"/>
  <c r="C120" i="7" l="1"/>
  <c r="B121" i="7"/>
  <c r="C121" i="7" l="1"/>
  <c r="B122" i="7"/>
  <c r="B123" i="7" l="1"/>
  <c r="C122" i="7"/>
  <c r="C123" i="7" l="1"/>
  <c r="B124" i="7"/>
  <c r="B125" i="7" l="1"/>
  <c r="C124" i="7"/>
  <c r="C125" i="7" l="1"/>
  <c r="B126" i="7"/>
  <c r="C126" i="7" l="1"/>
  <c r="B127" i="7"/>
  <c r="B128" i="7" l="1"/>
  <c r="C127" i="7"/>
  <c r="B129" i="7" l="1"/>
  <c r="C128" i="7"/>
  <c r="B130" i="7" l="1"/>
  <c r="C129" i="7"/>
  <c r="C130" i="7" l="1"/>
  <c r="B131" i="7"/>
  <c r="B132" i="7" l="1"/>
  <c r="C131" i="7"/>
  <c r="B133" i="7" l="1"/>
  <c r="C132" i="7"/>
  <c r="B134" i="7" l="1"/>
  <c r="C133" i="7"/>
  <c r="B135" i="7" l="1"/>
  <c r="C134" i="7"/>
  <c r="C135" i="7" l="1"/>
  <c r="B136" i="7"/>
  <c r="C136" i="7" l="1"/>
  <c r="B137" i="7"/>
  <c r="C137" i="7" l="1"/>
  <c r="B138" i="7"/>
  <c r="B139" i="7" l="1"/>
  <c r="C138" i="7"/>
  <c r="C139" i="7" l="1"/>
  <c r="B140" i="7"/>
  <c r="B141" i="7" l="1"/>
  <c r="C140" i="7"/>
  <c r="C141" i="7" l="1"/>
  <c r="B142" i="7"/>
  <c r="C142" i="7" l="1"/>
  <c r="B143" i="7"/>
  <c r="B144" i="7" l="1"/>
  <c r="C143" i="7"/>
  <c r="B145" i="7" l="1"/>
  <c r="C144" i="7"/>
  <c r="C145" i="7" l="1"/>
  <c r="B146" i="7"/>
  <c r="B147" i="7" l="1"/>
  <c r="C146" i="7"/>
  <c r="B148" i="7" l="1"/>
  <c r="C147" i="7"/>
  <c r="B149" i="7" l="1"/>
  <c r="C148" i="7"/>
  <c r="C149" i="7" l="1"/>
  <c r="B150" i="7"/>
  <c r="B151" i="7" l="1"/>
  <c r="C150" i="7"/>
  <c r="C151" i="7" l="1"/>
  <c r="B152" i="7"/>
  <c r="B153" i="7" l="1"/>
  <c r="C152" i="7"/>
  <c r="C153" i="7" l="1"/>
  <c r="B154" i="7"/>
  <c r="C154" i="7" l="1"/>
  <c r="B155" i="7"/>
  <c r="C155" i="7" l="1"/>
  <c r="B156" i="7"/>
  <c r="B157" i="7" l="1"/>
  <c r="C156" i="7"/>
  <c r="C157" i="7" l="1"/>
  <c r="B158" i="7"/>
  <c r="B159" i="7" l="1"/>
  <c r="C158" i="7"/>
  <c r="C159" i="7" l="1"/>
  <c r="B160" i="7"/>
  <c r="B161" i="7" l="1"/>
  <c r="C160" i="7"/>
  <c r="C161" i="7" l="1"/>
  <c r="B162" i="7"/>
  <c r="C162" i="7" l="1"/>
  <c r="B163" i="7"/>
  <c r="B164" i="7" l="1"/>
  <c r="C163" i="7"/>
  <c r="B165" i="7" l="1"/>
  <c r="C164" i="7"/>
  <c r="C165" i="7" l="1"/>
  <c r="B166" i="7"/>
  <c r="B167" i="7" l="1"/>
  <c r="C166" i="7"/>
  <c r="C167" i="7" l="1"/>
  <c r="B168" i="7"/>
  <c r="C168" i="7" l="1"/>
  <c r="B169" i="7"/>
  <c r="C169" i="7" l="1"/>
  <c r="B170" i="7"/>
  <c r="B171" i="7" l="1"/>
  <c r="C170" i="7"/>
  <c r="C171" i="7" l="1"/>
  <c r="B172" i="7"/>
  <c r="B173" i="7" l="1"/>
  <c r="C172" i="7"/>
  <c r="B174" i="7" l="1"/>
  <c r="C173" i="7"/>
  <c r="C174" i="7" l="1"/>
  <c r="B175" i="7"/>
  <c r="B176" i="7" l="1"/>
  <c r="C175" i="7"/>
  <c r="B177" i="7" l="1"/>
  <c r="C176" i="7"/>
  <c r="B178" i="7" l="1"/>
  <c r="C177" i="7"/>
  <c r="C178" i="7" l="1"/>
  <c r="B179" i="7"/>
  <c r="B180" i="7" l="1"/>
  <c r="C179" i="7"/>
  <c r="C180" i="7" l="1"/>
  <c r="B181" i="7"/>
  <c r="C181" i="7" l="1"/>
  <c r="B182" i="7"/>
  <c r="C182" i="7" l="1"/>
  <c r="B183" i="7"/>
  <c r="C183" i="7" l="1"/>
  <c r="B184" i="7"/>
  <c r="C184" i="7" l="1"/>
  <c r="B185" i="7"/>
  <c r="C185" i="7" l="1"/>
  <c r="B186" i="7"/>
  <c r="B187" i="7" l="1"/>
  <c r="C186" i="7"/>
  <c r="B188" i="7" l="1"/>
  <c r="C187" i="7"/>
  <c r="C188" i="7" l="1"/>
  <c r="B189" i="7"/>
  <c r="B190" i="7" l="1"/>
  <c r="C189" i="7"/>
  <c r="C190" i="7" l="1"/>
  <c r="B191" i="7"/>
  <c r="B192" i="7" l="1"/>
  <c r="C191" i="7"/>
  <c r="B193" i="7" l="1"/>
  <c r="C192" i="7"/>
  <c r="B194" i="7" l="1"/>
  <c r="C193" i="7"/>
  <c r="B195" i="7" l="1"/>
  <c r="C194" i="7"/>
  <c r="C195" i="7" l="1"/>
  <c r="B196" i="7"/>
  <c r="C196" i="7" l="1"/>
  <c r="B197" i="7"/>
  <c r="C197" i="7" l="1"/>
  <c r="B198" i="7"/>
  <c r="C198" i="7" l="1"/>
  <c r="B199" i="7"/>
  <c r="C199" i="7" l="1"/>
  <c r="B200" i="7"/>
  <c r="C200" i="7" l="1"/>
  <c r="B201" i="7"/>
  <c r="B202" i="7" l="1"/>
  <c r="C201" i="7"/>
  <c r="C202" i="7" l="1"/>
  <c r="B203" i="7"/>
  <c r="B204" i="7" l="1"/>
  <c r="C203" i="7"/>
  <c r="C204" i="7" l="1"/>
  <c r="B205" i="7"/>
  <c r="B206" i="7" l="1"/>
  <c r="C205" i="7"/>
  <c r="C206" i="7" l="1"/>
  <c r="B207" i="7"/>
  <c r="B208" i="7" l="1"/>
  <c r="C207" i="7"/>
  <c r="C208" i="7" l="1"/>
  <c r="B209" i="7"/>
  <c r="C209" i="7" l="1"/>
  <c r="B210" i="7"/>
  <c r="B211" i="7" l="1"/>
  <c r="C210" i="7"/>
  <c r="C211" i="7" l="1"/>
  <c r="B212" i="7"/>
  <c r="C212" i="7" l="1"/>
  <c r="B213" i="7"/>
  <c r="C213" i="7" l="1"/>
  <c r="B214" i="7"/>
  <c r="C214" i="7" l="1"/>
  <c r="B215" i="7"/>
  <c r="C215" i="7" l="1"/>
  <c r="B216" i="7"/>
  <c r="C216" i="7" l="1"/>
  <c r="B217" i="7"/>
  <c r="B218" i="7" l="1"/>
  <c r="C217" i="7"/>
  <c r="C218" i="7" l="1"/>
  <c r="B219" i="7"/>
  <c r="B220" i="7" l="1"/>
  <c r="C219" i="7"/>
  <c r="B221" i="7" l="1"/>
  <c r="C220" i="7"/>
  <c r="C221" i="7" l="1"/>
  <c r="B222" i="7"/>
  <c r="B223" i="7" l="1"/>
  <c r="C222" i="7"/>
  <c r="C223" i="7" l="1"/>
  <c r="B224" i="7"/>
  <c r="C224" i="7" l="1"/>
  <c r="B225" i="7"/>
  <c r="C225" i="7" l="1"/>
  <c r="B226" i="7"/>
  <c r="B227" i="7" l="1"/>
  <c r="C226" i="7"/>
  <c r="B228" i="7" l="1"/>
  <c r="C227" i="7"/>
  <c r="B229" i="7" l="1"/>
  <c r="C228" i="7"/>
  <c r="B230" i="7" l="1"/>
  <c r="C229" i="7"/>
  <c r="B231" i="7" l="1"/>
  <c r="C230" i="7"/>
  <c r="B232" i="7" l="1"/>
  <c r="C231" i="7"/>
  <c r="B233" i="7" l="1"/>
  <c r="C232" i="7"/>
  <c r="B234" i="7" l="1"/>
  <c r="C233" i="7"/>
  <c r="B235" i="7" l="1"/>
  <c r="C234" i="7"/>
  <c r="C235" i="7" l="1"/>
  <c r="B236" i="7"/>
  <c r="B237" i="7" l="1"/>
  <c r="C236" i="7"/>
  <c r="C237" i="7" l="1"/>
  <c r="B238" i="7"/>
  <c r="B239" i="7" l="1"/>
  <c r="C238" i="7"/>
  <c r="C239" i="7" l="1"/>
  <c r="B240" i="7"/>
  <c r="C240" i="7" l="1"/>
  <c r="B241" i="7"/>
  <c r="B242" i="7" l="1"/>
  <c r="C241" i="7"/>
  <c r="C242" i="7" l="1"/>
  <c r="B243" i="7"/>
  <c r="B244" i="7" l="1"/>
  <c r="C243" i="7"/>
  <c r="B245" i="7" l="1"/>
  <c r="C244" i="7"/>
  <c r="B246" i="7" l="1"/>
  <c r="C245" i="7"/>
  <c r="C246" i="7" l="1"/>
  <c r="B247" i="7"/>
  <c r="B248" i="7" l="1"/>
  <c r="C247" i="7"/>
  <c r="C248" i="7" l="1"/>
  <c r="B249" i="7"/>
  <c r="C249" i="7" l="1"/>
  <c r="B250" i="7"/>
  <c r="B251" i="7" l="1"/>
  <c r="C250" i="7"/>
  <c r="C251" i="7" l="1"/>
  <c r="B252" i="7"/>
  <c r="C252" i="7" l="1"/>
  <c r="B253" i="7"/>
  <c r="C253" i="7" l="1"/>
  <c r="B254" i="7"/>
  <c r="C254" i="7" l="1"/>
  <c r="B255" i="7"/>
  <c r="B256" i="7" l="1"/>
  <c r="C255" i="7"/>
  <c r="B257" i="7" l="1"/>
  <c r="C256" i="7"/>
  <c r="B258" i="7" l="1"/>
  <c r="C257" i="7"/>
  <c r="C258" i="7" l="1"/>
  <c r="B259" i="7"/>
  <c r="B260" i="7" l="1"/>
  <c r="C259" i="7"/>
  <c r="B261" i="7" l="1"/>
  <c r="C260" i="7"/>
  <c r="B262" i="7" l="1"/>
  <c r="C261" i="7"/>
  <c r="C262" i="7" l="1"/>
  <c r="B263" i="7"/>
  <c r="B264" i="7" l="1"/>
  <c r="C263" i="7"/>
  <c r="C264" i="7" l="1"/>
  <c r="B265" i="7"/>
  <c r="C265" i="7" l="1"/>
  <c r="B266" i="7"/>
  <c r="B267" i="7" l="1"/>
  <c r="C266" i="7"/>
  <c r="C267" i="7" l="1"/>
  <c r="B268" i="7"/>
  <c r="C268" i="7" l="1"/>
  <c r="B269" i="7"/>
  <c r="C269" i="7" l="1"/>
  <c r="B270" i="7"/>
  <c r="C270" i="7" l="1"/>
  <c r="B271" i="7"/>
  <c r="B272" i="7" l="1"/>
  <c r="C271" i="7"/>
  <c r="B273" i="7" l="1"/>
  <c r="C272" i="7"/>
  <c r="C273" i="7" l="1"/>
  <c r="B274" i="7"/>
  <c r="B275" i="7" l="1"/>
  <c r="C274" i="7"/>
  <c r="C275" i="7" l="1"/>
  <c r="B276" i="7"/>
  <c r="C276" i="7" l="1"/>
  <c r="B277" i="7"/>
  <c r="C277" i="7" l="1"/>
  <c r="B278" i="7"/>
  <c r="B279" i="7" l="1"/>
  <c r="C278" i="7"/>
  <c r="C279" i="7" l="1"/>
  <c r="B280" i="7"/>
  <c r="C280" i="7" l="1"/>
  <c r="B281" i="7"/>
  <c r="C281" i="7" l="1"/>
  <c r="B282" i="7"/>
  <c r="B283" i="7" l="1"/>
  <c r="C282" i="7"/>
  <c r="C283" i="7" l="1"/>
  <c r="B284" i="7"/>
  <c r="B285" i="7" l="1"/>
  <c r="C284" i="7"/>
  <c r="B286" i="7" l="1"/>
  <c r="C285" i="7"/>
  <c r="B287" i="7" l="1"/>
  <c r="C286" i="7"/>
  <c r="B288" i="7" l="1"/>
  <c r="C287" i="7"/>
  <c r="B289" i="7" l="1"/>
  <c r="C288" i="7"/>
  <c r="B290" i="7" l="1"/>
  <c r="C289" i="7"/>
  <c r="C290" i="7" l="1"/>
  <c r="B291" i="7"/>
  <c r="B292" i="7" l="1"/>
  <c r="C291" i="7"/>
  <c r="B293" i="7" l="1"/>
  <c r="C292" i="7"/>
  <c r="B294" i="7" l="1"/>
  <c r="C293" i="7"/>
  <c r="C294" i="7" l="1"/>
  <c r="B295" i="7"/>
  <c r="B296" i="7" l="1"/>
  <c r="C295" i="7"/>
  <c r="B297" i="7" l="1"/>
  <c r="C296" i="7"/>
  <c r="C297" i="7" l="1"/>
  <c r="B298" i="7"/>
  <c r="B299" i="7" l="1"/>
  <c r="C298" i="7"/>
  <c r="C299" i="7" l="1"/>
  <c r="B300" i="7"/>
  <c r="C300" i="7" l="1"/>
  <c r="B301" i="7"/>
  <c r="C301" i="7" l="1"/>
  <c r="B302" i="7"/>
  <c r="C302" i="7" l="1"/>
  <c r="B303" i="7"/>
  <c r="C303" i="7" l="1"/>
  <c r="B304" i="7"/>
  <c r="B305" i="7" l="1"/>
  <c r="C304" i="7"/>
  <c r="B306" i="7" l="1"/>
  <c r="C305" i="7"/>
  <c r="C306" i="7" l="1"/>
  <c r="B307" i="7"/>
  <c r="B308" i="7" l="1"/>
  <c r="C307" i="7"/>
  <c r="B309" i="7" l="1"/>
  <c r="C308" i="7"/>
  <c r="C309" i="7" l="1"/>
  <c r="B310" i="7"/>
  <c r="C310" i="7" l="1"/>
  <c r="B311" i="7"/>
  <c r="C311" i="7" l="1"/>
  <c r="B312" i="7"/>
  <c r="C312" i="7" l="1"/>
  <c r="B313" i="7"/>
  <c r="C313" i="7" l="1"/>
  <c r="B314" i="7"/>
  <c r="B315" i="7" l="1"/>
  <c r="C314" i="7"/>
  <c r="C315" i="7" l="1"/>
  <c r="B316" i="7"/>
  <c r="C316" i="7" l="1"/>
  <c r="B317" i="7"/>
  <c r="C317" i="7" l="1"/>
  <c r="B318" i="7"/>
  <c r="C318" i="7" l="1"/>
  <c r="B319" i="7"/>
  <c r="C319" i="7" l="1"/>
  <c r="B320" i="7"/>
  <c r="B321" i="7" l="1"/>
  <c r="C320" i="7"/>
  <c r="B322" i="7" l="1"/>
  <c r="C321" i="7"/>
  <c r="C322" i="7" l="1"/>
  <c r="B323" i="7"/>
  <c r="B324" i="7" l="1"/>
  <c r="C323" i="7"/>
  <c r="C324" i="7" l="1"/>
  <c r="B325" i="7"/>
  <c r="B326" i="7" l="1"/>
  <c r="C325" i="7"/>
  <c r="B327" i="7" l="1"/>
  <c r="C326" i="7"/>
  <c r="B328" i="7" l="1"/>
  <c r="C327" i="7"/>
  <c r="B329" i="7" l="1"/>
  <c r="C328" i="7"/>
  <c r="B330" i="7" l="1"/>
  <c r="C329" i="7"/>
  <c r="C330" i="7" l="1"/>
  <c r="B331" i="7"/>
  <c r="B332" i="7" l="1"/>
  <c r="C331" i="7"/>
  <c r="B333" i="7" l="1"/>
  <c r="C332" i="7"/>
  <c r="C333" i="7" l="1"/>
  <c r="B334" i="7"/>
  <c r="B335" i="7" l="1"/>
  <c r="C334" i="7"/>
  <c r="C335" i="7" l="1"/>
  <c r="B336" i="7"/>
  <c r="C336" i="7" l="1"/>
  <c r="B337" i="7"/>
  <c r="C337" i="7" l="1"/>
  <c r="B338" i="7"/>
  <c r="B339" i="7" l="1"/>
  <c r="C338" i="7"/>
  <c r="C339" i="7" l="1"/>
  <c r="B340" i="7"/>
  <c r="B341" i="7" l="1"/>
  <c r="C340" i="7"/>
  <c r="B342" i="7" l="1"/>
  <c r="C341" i="7"/>
  <c r="B343" i="7" l="1"/>
  <c r="C342" i="7"/>
  <c r="B344" i="7" l="1"/>
  <c r="C343" i="7"/>
  <c r="B345" i="7" l="1"/>
  <c r="C344" i="7"/>
  <c r="B346" i="7" l="1"/>
  <c r="C345" i="7"/>
  <c r="C346" i="7" l="1"/>
  <c r="B347" i="7"/>
  <c r="C347" i="7" l="1"/>
  <c r="B348" i="7"/>
  <c r="C348" i="7" l="1"/>
  <c r="B349" i="7"/>
  <c r="C349" i="7" l="1"/>
  <c r="B350" i="7"/>
  <c r="B351" i="7" l="1"/>
  <c r="C350" i="7"/>
  <c r="C351" i="7" l="1"/>
  <c r="B352" i="7"/>
  <c r="B353" i="7" l="1"/>
  <c r="C352" i="7"/>
  <c r="B354" i="7" l="1"/>
  <c r="C353" i="7"/>
  <c r="C354" i="7" l="1"/>
  <c r="B355" i="7"/>
  <c r="B356" i="7" l="1"/>
  <c r="C355" i="7"/>
  <c r="B357" i="7" l="1"/>
  <c r="C356" i="7"/>
  <c r="B358" i="7" l="1"/>
  <c r="C357" i="7"/>
  <c r="B359" i="7" l="1"/>
  <c r="C358" i="7"/>
  <c r="C359" i="7" l="1"/>
  <c r="B360" i="7"/>
  <c r="C360" i="7" l="1"/>
  <c r="B361" i="7"/>
  <c r="C361" i="7" l="1"/>
  <c r="B362" i="7"/>
  <c r="B363" i="7" l="1"/>
  <c r="C362" i="7"/>
  <c r="C363" i="7" l="1"/>
  <c r="B364" i="7"/>
  <c r="C364" i="7" l="1"/>
  <c r="B365" i="7"/>
  <c r="C365" i="7" l="1"/>
  <c r="B366" i="7"/>
  <c r="B367" i="7" l="1"/>
  <c r="C366" i="7"/>
  <c r="B368" i="7" l="1"/>
  <c r="C367" i="7"/>
  <c r="B369" i="7" l="1"/>
  <c r="C368" i="7"/>
  <c r="B370" i="7" l="1"/>
  <c r="C369" i="7"/>
  <c r="C370" i="7" l="1"/>
  <c r="B371" i="7"/>
  <c r="B372" i="7" l="1"/>
  <c r="C371" i="7"/>
  <c r="B373" i="7" l="1"/>
  <c r="C372" i="7"/>
  <c r="B374" i="7" l="1"/>
  <c r="C373" i="7"/>
  <c r="C374" i="7" l="1"/>
  <c r="B375" i="7"/>
  <c r="C375" i="7" l="1"/>
  <c r="B376" i="7"/>
  <c r="C376" i="7" l="1"/>
  <c r="B377" i="7"/>
  <c r="C377" i="7" l="1"/>
  <c r="B378" i="7"/>
  <c r="B379" i="7" l="1"/>
  <c r="C378" i="7"/>
  <c r="C379" i="7" l="1"/>
  <c r="B380" i="7"/>
  <c r="B381" i="7" l="1"/>
  <c r="C380" i="7"/>
  <c r="B382" i="7" l="1"/>
  <c r="C381" i="7"/>
  <c r="B383" i="7" l="1"/>
  <c r="C382" i="7"/>
  <c r="B384" i="7" l="1"/>
  <c r="C383" i="7"/>
  <c r="B385" i="7" l="1"/>
  <c r="C384" i="7"/>
  <c r="B386" i="7" l="1"/>
  <c r="C385" i="7"/>
  <c r="C386" i="7" l="1"/>
  <c r="B387" i="7"/>
  <c r="B388" i="7" l="1"/>
  <c r="C387" i="7"/>
  <c r="B389" i="7" l="1"/>
  <c r="C388" i="7"/>
  <c r="C389" i="7" l="1"/>
  <c r="B390" i="7"/>
  <c r="B391" i="7" l="1"/>
  <c r="C390" i="7"/>
  <c r="C391" i="7" l="1"/>
  <c r="B392" i="7"/>
  <c r="C392" i="7" l="1"/>
  <c r="B393" i="7"/>
  <c r="C393" i="7" l="1"/>
  <c r="B394" i="7"/>
  <c r="B395" i="7" l="1"/>
  <c r="C394" i="7"/>
  <c r="C395" i="7" l="1"/>
  <c r="B396" i="7"/>
  <c r="C396" i="7" l="1"/>
  <c r="B397" i="7"/>
  <c r="C397" i="7" l="1"/>
  <c r="B398" i="7"/>
  <c r="B399" i="7" l="1"/>
  <c r="C398" i="7"/>
  <c r="B400" i="7" l="1"/>
  <c r="C399" i="7"/>
  <c r="B401" i="7" l="1"/>
  <c r="C400" i="7"/>
  <c r="B402" i="7" l="1"/>
  <c r="C401" i="7"/>
  <c r="C402" i="7" l="1"/>
  <c r="B403" i="7"/>
  <c r="C403" i="7" l="1"/>
  <c r="B404" i="7"/>
  <c r="C404" i="7" l="1"/>
  <c r="B405" i="7"/>
  <c r="C405" i="7" l="1"/>
  <c r="B406" i="7"/>
  <c r="B407" i="7" l="1"/>
  <c r="C406" i="7"/>
  <c r="C407" i="7" l="1"/>
  <c r="B408" i="7"/>
  <c r="C408" i="7" l="1"/>
  <c r="B409" i="7"/>
  <c r="C409" i="7" l="1"/>
  <c r="B410" i="7"/>
  <c r="C410" i="7" l="1"/>
  <c r="B411" i="7"/>
  <c r="B412" i="7" l="1"/>
  <c r="C411" i="7"/>
  <c r="B413" i="7" l="1"/>
  <c r="C412" i="7"/>
  <c r="B414" i="7" l="1"/>
  <c r="C413" i="7"/>
  <c r="B415" i="7" l="1"/>
  <c r="C414" i="7"/>
  <c r="C415" i="7" l="1"/>
  <c r="B416" i="7"/>
  <c r="C416" i="7" l="1"/>
  <c r="B417" i="7"/>
  <c r="C417" i="7" l="1"/>
  <c r="B418" i="7"/>
  <c r="B419" i="7" l="1"/>
  <c r="C418" i="7"/>
  <c r="C419" i="7" l="1"/>
  <c r="B420" i="7"/>
  <c r="C420" i="7" l="1"/>
  <c r="B421" i="7"/>
  <c r="C421" i="7" l="1"/>
  <c r="B422" i="7"/>
  <c r="C422" i="7" l="1"/>
  <c r="B423" i="7"/>
  <c r="B424" i="7" l="1"/>
  <c r="C423" i="7"/>
  <c r="B425" i="7" l="1"/>
  <c r="C424" i="7"/>
  <c r="B426" i="7" l="1"/>
  <c r="C425" i="7"/>
  <c r="C426" i="7" l="1"/>
  <c r="B427" i="7"/>
  <c r="B428" i="7" l="1"/>
  <c r="C427" i="7"/>
  <c r="B429" i="7" l="1"/>
  <c r="C428" i="7"/>
  <c r="B430" i="7" l="1"/>
  <c r="C429" i="7"/>
  <c r="B431" i="7" l="1"/>
  <c r="C430" i="7"/>
  <c r="B432" i="7" l="1"/>
  <c r="C431" i="7"/>
  <c r="B433" i="7" l="1"/>
  <c r="C432" i="7"/>
  <c r="C433" i="7" l="1"/>
  <c r="B434" i="7"/>
  <c r="B435" i="7" l="1"/>
  <c r="C434" i="7"/>
  <c r="C435" i="7" l="1"/>
  <c r="B436" i="7"/>
  <c r="C436" i="7" l="1"/>
  <c r="B437" i="7"/>
  <c r="C437" i="7" l="1"/>
  <c r="B438" i="7"/>
  <c r="B439" i="7" l="1"/>
  <c r="C438" i="7"/>
  <c r="C439" i="7" l="1"/>
  <c r="B440" i="7"/>
  <c r="C440" i="7" l="1"/>
  <c r="B441" i="7"/>
  <c r="C441" i="7" l="1"/>
  <c r="B442" i="7"/>
  <c r="B443" i="7" l="1"/>
  <c r="C442" i="7"/>
  <c r="C443" i="7" l="1"/>
  <c r="B444" i="7"/>
  <c r="B445" i="7" l="1"/>
  <c r="C444" i="7"/>
  <c r="B446" i="7" l="1"/>
  <c r="C445" i="7"/>
  <c r="B447" i="7" l="1"/>
  <c r="C446" i="7"/>
  <c r="B448" i="7" l="1"/>
  <c r="C447" i="7"/>
  <c r="B449" i="7" l="1"/>
  <c r="C448" i="7"/>
  <c r="B450" i="7" l="1"/>
  <c r="C449" i="7"/>
  <c r="C450" i="7" l="1"/>
  <c r="B451" i="7"/>
  <c r="B452" i="7" l="1"/>
  <c r="C451" i="7"/>
  <c r="B453" i="7" l="1"/>
  <c r="C452" i="7"/>
  <c r="C453" i="7" l="1"/>
  <c r="B454" i="7"/>
  <c r="B455" i="7" l="1"/>
  <c r="C454" i="7"/>
  <c r="C455" i="7" l="1"/>
  <c r="B456" i="7"/>
  <c r="C456" i="7" l="1"/>
  <c r="B457" i="7"/>
  <c r="C457" i="7" l="1"/>
  <c r="B458" i="7"/>
  <c r="B459" i="7" l="1"/>
  <c r="C458" i="7"/>
  <c r="C459" i="7" l="1"/>
  <c r="B460" i="7"/>
  <c r="C460" i="7" l="1"/>
  <c r="B461" i="7"/>
  <c r="C461" i="7" l="1"/>
  <c r="B462" i="7"/>
  <c r="B463" i="7" l="1"/>
  <c r="C462" i="7"/>
  <c r="B464" i="7" l="1"/>
  <c r="C463" i="7"/>
  <c r="B465" i="7" l="1"/>
  <c r="C464" i="7"/>
  <c r="B466" i="7" l="1"/>
  <c r="C465" i="7"/>
  <c r="C466" i="7" l="1"/>
  <c r="B467" i="7"/>
  <c r="B468" i="7" l="1"/>
  <c r="C467" i="7"/>
  <c r="B469" i="7" l="1"/>
  <c r="C468" i="7"/>
  <c r="B470" i="7" l="1"/>
  <c r="C469" i="7"/>
  <c r="C470" i="7" l="1"/>
  <c r="B471" i="7"/>
  <c r="B472" i="7" l="1"/>
  <c r="C471" i="7"/>
  <c r="B473" i="7" l="1"/>
  <c r="C472" i="7"/>
  <c r="C473" i="7" l="1"/>
  <c r="B474" i="7"/>
  <c r="B475" i="7" l="1"/>
  <c r="C474" i="7"/>
  <c r="C475" i="7" l="1"/>
  <c r="B476" i="7"/>
  <c r="C476" i="7" l="1"/>
  <c r="B477" i="7"/>
  <c r="C477" i="7" l="1"/>
  <c r="B478" i="7"/>
  <c r="C478" i="7" l="1"/>
  <c r="B479" i="7"/>
  <c r="C479" i="7" l="1"/>
  <c r="B480" i="7"/>
  <c r="C480" i="7" l="1"/>
  <c r="B481" i="7"/>
  <c r="C481" i="7" l="1"/>
  <c r="B482" i="7"/>
  <c r="B483" i="7" l="1"/>
  <c r="C482" i="7"/>
  <c r="C483" i="7" l="1"/>
  <c r="B484" i="7"/>
  <c r="B485" i="7" l="1"/>
  <c r="C484" i="7"/>
  <c r="B486" i="7" l="1"/>
  <c r="C485" i="7"/>
  <c r="C486" i="7" l="1"/>
  <c r="B487" i="7"/>
  <c r="B488" i="7" l="1"/>
  <c r="C487" i="7"/>
  <c r="B489" i="7" l="1"/>
  <c r="C488" i="7"/>
  <c r="B490" i="7" l="1"/>
  <c r="C489" i="7"/>
  <c r="C490" i="7" l="1"/>
  <c r="B491" i="7"/>
  <c r="B492" i="7" l="1"/>
  <c r="C491" i="7"/>
  <c r="B493" i="7" l="1"/>
  <c r="C492" i="7"/>
  <c r="B494" i="7" l="1"/>
  <c r="C493" i="7"/>
  <c r="B495" i="7" l="1"/>
  <c r="C494" i="7"/>
  <c r="C495" i="7" l="1"/>
  <c r="B496" i="7"/>
  <c r="C496" i="7" l="1"/>
  <c r="B497" i="7"/>
  <c r="C497" i="7" l="1"/>
  <c r="B498" i="7"/>
  <c r="B499" i="7" l="1"/>
  <c r="C498" i="7"/>
  <c r="C499" i="7" l="1"/>
  <c r="B500" i="7"/>
  <c r="C500" i="7" l="1"/>
  <c r="B501" i="7"/>
  <c r="C501" i="7" l="1"/>
  <c r="B502" i="7"/>
  <c r="B503" i="7" l="1"/>
  <c r="C502" i="7"/>
  <c r="C503" i="7" l="1"/>
  <c r="B504" i="7"/>
  <c r="C504" i="7" l="1"/>
  <c r="B505" i="7"/>
  <c r="C505" i="7" l="1"/>
  <c r="B506" i="7"/>
  <c r="C506" i="7" l="1"/>
  <c r="B507" i="7"/>
  <c r="B508" i="7" l="1"/>
  <c r="C507" i="7"/>
  <c r="B509" i="7" l="1"/>
  <c r="C508" i="7"/>
  <c r="B510" i="7" l="1"/>
  <c r="C509" i="7"/>
  <c r="B511" i="7" l="1"/>
  <c r="C510" i="7"/>
  <c r="B512" i="7" l="1"/>
  <c r="C511" i="7"/>
  <c r="B513" i="7" l="1"/>
  <c r="C512" i="7"/>
  <c r="B514" i="7" l="1"/>
  <c r="C513" i="7"/>
  <c r="C514" i="7" l="1"/>
  <c r="B515" i="7"/>
  <c r="C515" i="7" l="1"/>
  <c r="B516" i="7"/>
  <c r="C516" i="7" l="1"/>
  <c r="B517" i="7"/>
  <c r="B518" i="7" l="1"/>
  <c r="C517" i="7"/>
  <c r="C518" i="7" l="1"/>
  <c r="B519" i="7"/>
  <c r="C519" i="7" l="1"/>
  <c r="B520" i="7"/>
  <c r="C520" i="7" l="1"/>
  <c r="B521" i="7"/>
  <c r="C521" i="7" l="1"/>
  <c r="B522" i="7"/>
  <c r="B523" i="7" l="1"/>
  <c r="C522" i="7"/>
  <c r="C523" i="7" l="1"/>
  <c r="B524" i="7"/>
  <c r="C524" i="7" l="1"/>
  <c r="B525" i="7"/>
  <c r="C525" i="7" l="1"/>
  <c r="B526" i="7"/>
  <c r="C526" i="7" l="1"/>
  <c r="B527" i="7"/>
  <c r="C527" i="7" l="1"/>
  <c r="B528" i="7"/>
  <c r="C528" i="7" l="1"/>
  <c r="B529" i="7"/>
  <c r="C529" i="7" l="1"/>
  <c r="B530" i="7"/>
  <c r="B531" i="7" l="1"/>
  <c r="C530" i="7"/>
  <c r="C531" i="7" l="1"/>
  <c r="B532" i="7"/>
  <c r="B533" i="7" l="1"/>
  <c r="C532" i="7"/>
  <c r="B534" i="7" l="1"/>
  <c r="C533" i="7"/>
  <c r="C534" i="7" l="1"/>
  <c r="B535" i="7"/>
  <c r="C535" i="7" l="1"/>
  <c r="B536" i="7"/>
  <c r="C536" i="7" l="1"/>
  <c r="B537" i="7"/>
  <c r="C537" i="7" l="1"/>
  <c r="B538" i="7"/>
  <c r="B539" i="7" l="1"/>
  <c r="C538" i="7"/>
  <c r="C539" i="7" l="1"/>
  <c r="B540" i="7"/>
  <c r="C540" i="7" l="1"/>
  <c r="B541" i="7"/>
  <c r="C541" i="7" l="1"/>
  <c r="B542" i="7"/>
  <c r="C542" i="7" l="1"/>
  <c r="B543" i="7"/>
  <c r="C543" i="7" l="1"/>
  <c r="B544" i="7"/>
  <c r="C544" i="7" l="1"/>
  <c r="B545" i="7"/>
  <c r="C545" i="7" l="1"/>
  <c r="B546" i="7"/>
  <c r="B547" i="7" l="1"/>
  <c r="C546" i="7"/>
  <c r="B548" i="7" l="1"/>
  <c r="C548" i="7" s="1"/>
  <c r="C547" i="7"/>
  <c r="G22" i="22" l="1"/>
  <c r="D34" i="21" s="1"/>
  <c r="E22" i="2"/>
  <c r="G22" i="2"/>
  <c r="D34" i="20" s="1"/>
  <c r="E22" i="22"/>
  <c r="C34" i="20" l="1"/>
  <c r="E23" i="2"/>
  <c r="E25" i="2" s="1"/>
  <c r="C34" i="21"/>
  <c r="C35" i="20" l="1"/>
  <c r="G28" i="2" l="1"/>
  <c r="D40" i="20" s="1"/>
  <c r="C38" i="20"/>
  <c r="E28" i="2"/>
  <c r="E42" i="22"/>
  <c r="E29" i="2" l="1"/>
  <c r="G29" i="2"/>
  <c r="D41" i="20" s="1"/>
  <c r="C40" i="20"/>
  <c r="G30" i="2" l="1"/>
  <c r="D42" i="20" s="1"/>
  <c r="E30" i="2"/>
  <c r="C42" i="20" s="1"/>
  <c r="E9" i="34" s="1"/>
  <c r="C41" i="20"/>
  <c r="D9" i="24" l="1"/>
  <c r="D9" i="28"/>
  <c r="B45" i="20"/>
  <c r="B46" i="20"/>
  <c r="B47" i="20" l="1"/>
  <c r="C51" i="20" l="1"/>
  <c r="E10" i="34"/>
  <c r="D23" i="24"/>
  <c r="E18" i="22"/>
  <c r="C30" i="21" s="1"/>
  <c r="E14" i="22"/>
  <c r="E20" i="22" s="1"/>
  <c r="C32" i="21" s="1"/>
  <c r="G18" i="22"/>
  <c r="D30" i="21" s="1"/>
  <c r="E19" i="22"/>
  <c r="C31" i="21" s="1"/>
  <c r="G19" i="22"/>
  <c r="D31" i="21" s="1"/>
  <c r="E16" i="22"/>
  <c r="F13" i="22"/>
  <c r="F14" i="22" s="1"/>
  <c r="E3" i="22" l="1"/>
  <c r="G20" i="22"/>
  <c r="D32" i="21" s="1"/>
  <c r="E23" i="22"/>
  <c r="C35" i="21" l="1"/>
  <c r="E25" i="22"/>
  <c r="C38" i="21" s="1"/>
  <c r="G28" i="22" l="1"/>
  <c r="D40" i="21" s="1"/>
  <c r="E28" i="22"/>
  <c r="C40" i="21" l="1"/>
  <c r="G29" i="22"/>
  <c r="D41" i="21" s="1"/>
  <c r="E29" i="22"/>
  <c r="C41" i="21" l="1"/>
  <c r="E30" i="22"/>
  <c r="C42" i="21" s="1"/>
  <c r="E12" i="34" s="1"/>
  <c r="G30" i="22"/>
  <c r="D42" i="21" s="1"/>
  <c r="D10" i="28" l="1"/>
  <c r="D11" i="28" s="1"/>
  <c r="E24" i="34" s="1"/>
  <c r="B46" i="21"/>
  <c r="B45" i="21"/>
  <c r="D10" i="24"/>
  <c r="E27" i="28" l="1"/>
  <c r="B8" i="28"/>
  <c r="D11" i="24"/>
  <c r="D35" i="24"/>
  <c r="B47" i="21"/>
  <c r="E15" i="34" l="1"/>
  <c r="E18" i="24"/>
  <c r="D22" i="24" s="1"/>
  <c r="D24" i="24" s="1"/>
  <c r="C51" i="21"/>
  <c r="E13" i="34"/>
  <c r="B8" i="24"/>
  <c r="E16" i="34" l="1"/>
  <c r="E27" i="24"/>
</calcChain>
</file>

<file path=xl/sharedStrings.xml><?xml version="1.0" encoding="utf-8"?>
<sst xmlns="http://schemas.openxmlformats.org/spreadsheetml/2006/main" count="1877" uniqueCount="491">
  <si>
    <t>Factor 1</t>
  </si>
  <si>
    <t>h</t>
  </si>
  <si>
    <t>Andar</t>
  </si>
  <si>
    <t>Factor1</t>
  </si>
  <si>
    <t>K</t>
  </si>
  <si>
    <t>Hplano</t>
  </si>
  <si>
    <t>m</t>
  </si>
  <si>
    <t>penalidade</t>
  </si>
  <si>
    <t>COND</t>
  </si>
  <si>
    <t>Factor 2</t>
  </si>
  <si>
    <t>Helevador</t>
  </si>
  <si>
    <t>Factor2</t>
  </si>
  <si>
    <t>pemalidade</t>
  </si>
  <si>
    <t>MCB</t>
  </si>
  <si>
    <t>FiMAX</t>
  </si>
  <si>
    <t>L</t>
  </si>
  <si>
    <t>φ5</t>
  </si>
  <si>
    <t>Fi MAX</t>
  </si>
  <si>
    <t>Preço ($/m2)</t>
  </si>
  <si>
    <t>Nº PISOS TOTAL</t>
  </si>
  <si>
    <t xml:space="preserve">ÁREA COBERTA TOTAL </t>
  </si>
  <si>
    <t>ÁREA DESCOBERTA TOTAL</t>
  </si>
  <si>
    <t>H MÁX. TOTAL</t>
  </si>
  <si>
    <t>ÁREA TOTAL LOTE</t>
  </si>
  <si>
    <t>LARGURA TOTAL (FRENTE DO LOTE)/INFRA-ESTRUTURAS</t>
  </si>
  <si>
    <t>LARGURA TOTAL FACHADA (EDIFÍCIO)/PROPORÇÃO</t>
  </si>
  <si>
    <t>Altura (Andares)</t>
  </si>
  <si>
    <t>Zona Normal</t>
  </si>
  <si>
    <t>Menor comprimento da Base</t>
  </si>
  <si>
    <t>Ponderação e compatibilização na alteração de usos</t>
  </si>
  <si>
    <t>Uso Alterado</t>
  </si>
  <si>
    <t>Misto (Habitação + Terciário/Com-Serv)</t>
  </si>
  <si>
    <t>Estacionamento</t>
  </si>
  <si>
    <t>Turismo</t>
  </si>
  <si>
    <t>Recreio Urbano (inclui Áreas Verdes)</t>
  </si>
  <si>
    <t>Recreio Rural</t>
  </si>
  <si>
    <t>Infra-estruturas (técnicas e públicas)</t>
  </si>
  <si>
    <t>Pesca</t>
  </si>
  <si>
    <t>Uso Actual</t>
  </si>
  <si>
    <t>Extração mineira</t>
  </si>
  <si>
    <t>PARÂMETRO VALORIZAÇÃO DO BAIRRO</t>
  </si>
  <si>
    <t>PREÇO BASE DE REFERÊNCIA/m2 TERRENO (normal e social)</t>
  </si>
  <si>
    <t>PREÇO SOCAIL</t>
  </si>
  <si>
    <t>Código Bairro</t>
  </si>
  <si>
    <t>Nome Bairro</t>
  </si>
  <si>
    <t>Área (m2)</t>
  </si>
  <si>
    <t>População Estimada</t>
  </si>
  <si>
    <t>Pop INE 2010</t>
  </si>
  <si>
    <t>Área (km2)</t>
  </si>
  <si>
    <t>Pop/km2</t>
  </si>
  <si>
    <t>Pop/km2 (INE)</t>
  </si>
  <si>
    <t>Categoria</t>
  </si>
  <si>
    <t>Ponderação</t>
  </si>
  <si>
    <t>Preço Normal/m2</t>
  </si>
  <si>
    <t>Preço Social/m2</t>
  </si>
  <si>
    <t>Paiol</t>
  </si>
  <si>
    <t>Lem Cachorro</t>
  </si>
  <si>
    <t>Achadinha Pires</t>
  </si>
  <si>
    <t>Coqueiro Castelão</t>
  </si>
  <si>
    <t>Achada Mato</t>
  </si>
  <si>
    <t>Agua Funda</t>
  </si>
  <si>
    <t>Achada Limpo</t>
  </si>
  <si>
    <t>Ribeira S. Filipe</t>
  </si>
  <si>
    <t>Ponta de Agua</t>
  </si>
  <si>
    <t>Valorização máxima (ex: Plateau)</t>
  </si>
  <si>
    <t>Vila Nova</t>
  </si>
  <si>
    <t>Valorização média/alta (ex: ASA)</t>
  </si>
  <si>
    <t>Safende</t>
  </si>
  <si>
    <t>Valorização média/baixa (ex: Achadinha)</t>
  </si>
  <si>
    <t>Calabaceira</t>
  </si>
  <si>
    <t>Valorização baixa (ex: alguns bairros AUGI)</t>
  </si>
  <si>
    <t>S. Pedro Latada</t>
  </si>
  <si>
    <t>Valorização zonas rurais (ex: propriedade rústica)</t>
  </si>
  <si>
    <t>Monte Gonçalo Afonso</t>
  </si>
  <si>
    <t>Gonçalo Afonso</t>
  </si>
  <si>
    <t>Monteagarro</t>
  </si>
  <si>
    <t>Plateau</t>
  </si>
  <si>
    <t>Praia Negra</t>
  </si>
  <si>
    <t>Fazenda Sucupira</t>
  </si>
  <si>
    <t>Tahiti Chã de Areia</t>
  </si>
  <si>
    <t>Gamboa</t>
  </si>
  <si>
    <t>Ilheu de Santa Maria</t>
  </si>
  <si>
    <t>Achada S. Antonio</t>
  </si>
  <si>
    <t>Chã de Areia Encosta ASA</t>
  </si>
  <si>
    <t>Prainha</t>
  </si>
  <si>
    <t>Quebra Canela</t>
  </si>
  <si>
    <t>Vale Palmarejo</t>
  </si>
  <si>
    <t>Tira Chapeu</t>
  </si>
  <si>
    <t>Palmarejo</t>
  </si>
  <si>
    <t>Monte Vermelho</t>
  </si>
  <si>
    <t>Cidadela Cova Minhoto</t>
  </si>
  <si>
    <t>Palmarejo Grande</t>
  </si>
  <si>
    <t>Achada Grande Frente</t>
  </si>
  <si>
    <t>Lem Ferreira</t>
  </si>
  <si>
    <t>Zona do Porto da Praia</t>
  </si>
  <si>
    <t>Ponta Bicuda</t>
  </si>
  <si>
    <t>Achada Grande Tras</t>
  </si>
  <si>
    <t>Zona do Aeroporto</t>
  </si>
  <si>
    <t>Monte Facho</t>
  </si>
  <si>
    <t>Achada Ribeirão Pedro</t>
  </si>
  <si>
    <t>Achada Palha de Se</t>
  </si>
  <si>
    <t>Terra Branca</t>
  </si>
  <si>
    <t>Varzea</t>
  </si>
  <si>
    <t>Bairro Craveiro Lopes</t>
  </si>
  <si>
    <t>Achadinha</t>
  </si>
  <si>
    <t>Achada Eugenio Lima</t>
  </si>
  <si>
    <t>Pensamento</t>
  </si>
  <si>
    <t>Monte Pensamento</t>
  </si>
  <si>
    <t>Bela Vista</t>
  </si>
  <si>
    <t>Tira Chapeu Industrial</t>
  </si>
  <si>
    <t>Monte Babosa</t>
  </si>
  <si>
    <t>Saco</t>
  </si>
  <si>
    <t>Simão Ribeiro</t>
  </si>
  <si>
    <t>Bom Coi Sul</t>
  </si>
  <si>
    <t>S. Francisco</t>
  </si>
  <si>
    <t>S. Francisco de Baixo</t>
  </si>
  <si>
    <t>Achada Bela Costa Pila Cana</t>
  </si>
  <si>
    <t>S. Tome</t>
  </si>
  <si>
    <t>Portete de Baixo</t>
  </si>
  <si>
    <t>Portete de Cima</t>
  </si>
  <si>
    <t>Agostinho Alves</t>
  </si>
  <si>
    <t>Ilheu S. Filipe</t>
  </si>
  <si>
    <t>Pedregal</t>
  </si>
  <si>
    <t>Trindade</t>
  </si>
  <si>
    <t>Achada Bombena</t>
  </si>
  <si>
    <t>Vera Cruz</t>
  </si>
  <si>
    <t>Chão de Limão</t>
  </si>
  <si>
    <t>Bom Coi Norte</t>
  </si>
  <si>
    <t>Achada S. Jorginho</t>
  </si>
  <si>
    <t>S. Jorginho</t>
  </si>
  <si>
    <t>Ribeira Laranjo</t>
  </si>
  <si>
    <t>Achada Laranjo</t>
  </si>
  <si>
    <t>S. Martinho Pequeno</t>
  </si>
  <si>
    <t>Ribeirinha</t>
  </si>
  <si>
    <t>Joao Bom (Djamban)</t>
  </si>
  <si>
    <t>Cambudjane</t>
  </si>
  <si>
    <t>S. Cristovão</t>
  </si>
  <si>
    <t>Monte Vaca</t>
  </si>
  <si>
    <t>Palmarejo Santiago Golf Resort</t>
  </si>
  <si>
    <t>Caiada</t>
  </si>
  <si>
    <t>Monte Ilheu</t>
  </si>
  <si>
    <t>Chã de Poeira</t>
  </si>
  <si>
    <t>Lem Dias</t>
  </si>
  <si>
    <t>Pizarra Sarrado</t>
  </si>
  <si>
    <t>Ponta do Sol</t>
  </si>
  <si>
    <t>Matão</t>
  </si>
  <si>
    <t>Bairro</t>
  </si>
  <si>
    <t>Cod. Bairro</t>
  </si>
  <si>
    <t>Zona Histórica</t>
  </si>
  <si>
    <t>φ3</t>
  </si>
  <si>
    <t>Sim</t>
  </si>
  <si>
    <t>Não</t>
  </si>
  <si>
    <t>Habitação Multifamiliar</t>
  </si>
  <si>
    <t>Terciário Pequeno comércio</t>
  </si>
  <si>
    <t>Terciário Grossista</t>
  </si>
  <si>
    <t>Terciários Serviços</t>
  </si>
  <si>
    <t>Industria poluente</t>
  </si>
  <si>
    <t>Industria não poluente</t>
  </si>
  <si>
    <t>Habitação Unifamiliar</t>
  </si>
  <si>
    <t>Terciario Grossista</t>
  </si>
  <si>
    <t>Terciário Serviços</t>
  </si>
  <si>
    <t>HU</t>
  </si>
  <si>
    <t>HM</t>
  </si>
  <si>
    <t>TPC</t>
  </si>
  <si>
    <t>TG</t>
  </si>
  <si>
    <t>TS</t>
  </si>
  <si>
    <t>M</t>
  </si>
  <si>
    <t>E</t>
  </si>
  <si>
    <t>IP</t>
  </si>
  <si>
    <t>INP</t>
  </si>
  <si>
    <t>EQ</t>
  </si>
  <si>
    <t>RU</t>
  </si>
  <si>
    <t>RR</t>
  </si>
  <si>
    <t>AG</t>
  </si>
  <si>
    <t>FL</t>
  </si>
  <si>
    <t>EM</t>
  </si>
  <si>
    <t>PES</t>
  </si>
  <si>
    <t>TUR</t>
  </si>
  <si>
    <t>IF</t>
  </si>
  <si>
    <t>Normal</t>
  </si>
  <si>
    <t>Social</t>
  </si>
  <si>
    <t>base</t>
  </si>
  <si>
    <t>altura</t>
  </si>
  <si>
    <t>Equipamento</t>
  </si>
  <si>
    <t>Agrícola</t>
  </si>
  <si>
    <t>Florestal</t>
  </si>
  <si>
    <t>(sem alteração)</t>
  </si>
  <si>
    <t>(sa)</t>
  </si>
  <si>
    <t>Teste:</t>
  </si>
  <si>
    <t>facilitado/incentivado</t>
  </si>
  <si>
    <t>compatível</t>
  </si>
  <si>
    <t>compatível/tolerância média</t>
  </si>
  <si>
    <t>compatível/tolerância mais restritiva</t>
  </si>
  <si>
    <t>incompatível</t>
  </si>
  <si>
    <t>penalização máxima</t>
  </si>
  <si>
    <t>nº piso plano ou 2 (r/ch +1) [caso não haja plano]</t>
  </si>
  <si>
    <t>F1: Ponderação altura/nº de pisos</t>
  </si>
  <si>
    <t>F2: Ponderação elevador</t>
  </si>
  <si>
    <t>F3: Ponderação proporção alçados (rectângulo de ouro)</t>
  </si>
  <si>
    <t>F4: Ponderação uso</t>
  </si>
  <si>
    <t>F5: Ponderação infra-estruturas</t>
  </si>
  <si>
    <t>Uso</t>
  </si>
  <si>
    <t>ZONA</t>
  </si>
  <si>
    <t>Preço normal $/m2 (ponderado)</t>
  </si>
  <si>
    <t>Teste mudança de uso</t>
  </si>
  <si>
    <t>I</t>
  </si>
  <si>
    <t>II</t>
  </si>
  <si>
    <t>III</t>
  </si>
  <si>
    <t>IV</t>
  </si>
  <si>
    <t>V</t>
  </si>
  <si>
    <t>Praia Norte</t>
  </si>
  <si>
    <t>Praia Centro</t>
  </si>
  <si>
    <t>Praia Sul</t>
  </si>
  <si>
    <t>Pria Oriental</t>
  </si>
  <si>
    <t>Praia Ocidental</t>
  </si>
  <si>
    <t>Praia Nordeste</t>
  </si>
  <si>
    <t>Praia Noroeste</t>
  </si>
  <si>
    <t>Praia Sudoeste</t>
  </si>
  <si>
    <t>zona</t>
  </si>
  <si>
    <t>MCB/Piso - Correspondente a :</t>
  </si>
  <si>
    <t>φ3=0</t>
  </si>
  <si>
    <t>P1: Zona Histórica</t>
  </si>
  <si>
    <t>P2: Zona Normal</t>
  </si>
  <si>
    <t>2 pisos por cada 10m da base</t>
  </si>
  <si>
    <t>5 pisos para cada 10 metros da base</t>
  </si>
  <si>
    <t>Razão (P1):</t>
  </si>
  <si>
    <t>Razão (P2):</t>
  </si>
  <si>
    <t>PARÂMETRO VALORIZAÇÃO DE BAIRROS</t>
  </si>
  <si>
    <t>Total ponderação factores (F1xF2xF3xF4xF5)</t>
  </si>
  <si>
    <t>Aluguer espaço/dia</t>
  </si>
  <si>
    <t>Índice de Ocupação (IO) =</t>
  </si>
  <si>
    <t>Ponderaçã índice de ocupação $/m2</t>
  </si>
  <si>
    <t>Preço total $/m2</t>
  </si>
  <si>
    <t>Valor terreno($)</t>
  </si>
  <si>
    <t>Nº Pisos</t>
  </si>
  <si>
    <t>Fachada (m)</t>
  </si>
  <si>
    <t>Edificio Histórico</t>
  </si>
  <si>
    <t xml:space="preserve">             Câmara Municipal da Praia</t>
  </si>
  <si>
    <t>Data:</t>
  </si>
  <si>
    <t>Elaborado por:</t>
  </si>
  <si>
    <t>Área Total (A)</t>
  </si>
  <si>
    <t>Área Coberta (B)</t>
  </si>
  <si>
    <t>Área Descoberta (A-B)</t>
  </si>
  <si>
    <t>Largura do lote/ponderação Infra-estruturas (min. 10 m)</t>
  </si>
  <si>
    <t>Largura da fachada/ponderação Proporção (min. 10 m)</t>
  </si>
  <si>
    <t>Zona Histórica?</t>
  </si>
  <si>
    <t>PREÇO (CVE)</t>
  </si>
  <si>
    <t>Nº de Piso (aproveitamento urbanístico)</t>
  </si>
  <si>
    <t>F3: Ponderação proporção altura do edificado</t>
  </si>
  <si>
    <t>F1: Ponderação nº de pisos</t>
  </si>
  <si>
    <t>Índice de Ocupação (io) do Solo (B/A)</t>
  </si>
  <si>
    <t>Ponderaçã índice de ocupação ($/m2)</t>
  </si>
  <si>
    <t>Valor ponderado do Terreno F1 a F5 ($/m2)</t>
  </si>
  <si>
    <t>Preço de referência do terreno em função da localização ($/m2)</t>
  </si>
  <si>
    <t>CONTAS:</t>
  </si>
  <si>
    <t>CUSTAS DE TERRENO:</t>
  </si>
  <si>
    <t>Edifício com valor histórico (Deliberação nº35/2012)</t>
  </si>
  <si>
    <t>Achada S. Filipe</t>
  </si>
  <si>
    <t>Gato Valente Zona Enavi</t>
  </si>
  <si>
    <t>PREÇO BASE DE REFERÊNCIA esc/m2 TERRENO</t>
  </si>
  <si>
    <t>PRAIA NORTE (U1/01)</t>
  </si>
  <si>
    <t>Cod.</t>
  </si>
  <si>
    <t>Nome Bairro/Localidade</t>
  </si>
  <si>
    <t>Preço esc/m2 (Ponderação)</t>
  </si>
  <si>
    <t>a) Alta</t>
  </si>
  <si>
    <t>b) Média</t>
  </si>
  <si>
    <t>c) Baixa</t>
  </si>
  <si>
    <t>Ribeira São Filipe</t>
  </si>
  <si>
    <t>Monte Gonþalo Afonso</t>
  </si>
  <si>
    <t>Gonþalo Afonso</t>
  </si>
  <si>
    <t>Achada São Filipe</t>
  </si>
  <si>
    <t>PRAIA CENTRO (U2/02)</t>
  </si>
  <si>
    <t>PRAIA SUL (U3/03)</t>
  </si>
  <si>
    <t>Chã de Areia</t>
  </si>
  <si>
    <t>PRAIA ORIENTAL (U4/04)</t>
  </si>
  <si>
    <t>Achda Ribeirao Pedro</t>
  </si>
  <si>
    <t>PRAIA OCIDENTAL (U5/05)</t>
  </si>
  <si>
    <t>Gato Valente - Enavi</t>
  </si>
  <si>
    <t>PRAIA NORDESTE (R1/06)</t>
  </si>
  <si>
    <t>São Francisco</t>
  </si>
  <si>
    <t>São Francisco de Baixo</t>
  </si>
  <si>
    <t>São Tome</t>
  </si>
  <si>
    <t>Ilheu São Filipe</t>
  </si>
  <si>
    <t>PRAIA NOROESTE (R2/07)</t>
  </si>
  <si>
    <t>São Jorginho</t>
  </si>
  <si>
    <t>São Martinho Pequeno</t>
  </si>
  <si>
    <t>João Bom (Djamban)</t>
  </si>
  <si>
    <t>São Cristovão</t>
  </si>
  <si>
    <t>PRAIA SUDOESTE (R3/08)</t>
  </si>
  <si>
    <t>Alta</t>
  </si>
  <si>
    <t>Média</t>
  </si>
  <si>
    <t>Baixa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</si>
  <si>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</si>
  <si>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</si>
  <si>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</si>
  <si>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</si>
  <si>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</si>
  <si>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</si>
  <si>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</si>
  <si>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</si>
  <si>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</si>
  <si>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</si>
  <si>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</si>
  <si>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</si>
  <si>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</si>
  <si>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</si>
  <si>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</si>
  <si>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</si>
  <si>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</si>
  <si>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0201</t>
  </si>
  <si>
    <t>0202</t>
  </si>
  <si>
    <t>0203</t>
  </si>
  <si>
    <t>0204</t>
  </si>
  <si>
    <t>0205</t>
  </si>
  <si>
    <t>0206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</si>
  <si>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</si>
  <si>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</si>
  <si>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</si>
  <si>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</si>
  <si>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</si>
  <si>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</si>
  <si>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</si>
  <si>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</si>
  <si>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</si>
  <si>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</si>
  <si>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</si>
  <si>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</si>
  <si>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</si>
  <si>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</si>
  <si>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</si>
  <si>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</si>
  <si>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</si>
  <si>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</si>
  <si>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</si>
  <si>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</si>
  <si>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</si>
  <si>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</si>
  <si>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</si>
  <si>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</si>
  <si>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</si>
  <si>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</si>
  <si>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</si>
  <si>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</si>
  <si>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</si>
  <si>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</si>
  <si>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</si>
  <si>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</si>
  <si>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</si>
  <si>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</si>
  <si>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</si>
  <si>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</si>
  <si>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</si>
  <si>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</si>
  <si>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</si>
  <si>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</si>
  <si>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</si>
  <si>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</si>
  <si>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</si>
  <si>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</si>
  <si>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</si>
  <si>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</si>
  <si>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</si>
  <si>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</si>
  <si>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</si>
  <si>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</si>
  <si>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</si>
  <si>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</si>
  <si>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</si>
  <si>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</si>
  <si>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</si>
  <si>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</si>
  <si>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</si>
  <si>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0801</t>
  </si>
  <si>
    <t>0802</t>
  </si>
  <si>
    <t>0803</t>
  </si>
  <si>
    <t>0804</t>
  </si>
  <si>
    <t>0805</t>
  </si>
  <si>
    <t>0806</t>
  </si>
  <si>
    <t>0807</t>
  </si>
  <si>
    <t>0808</t>
  </si>
  <si>
    <t>Valorização Bairro/Ponderação</t>
  </si>
  <si>
    <t>Apreciação/ponderação</t>
  </si>
  <si>
    <t>REQUERENTE:</t>
  </si>
  <si>
    <t>"[R/U]_[Número]-[Fracção]"</t>
  </si>
  <si>
    <t>R/U_xxx-y</t>
  </si>
  <si>
    <t>Ponderação nº de vistas</t>
  </si>
  <si>
    <t>Nº de Visas (1 a 4)</t>
  </si>
  <si>
    <t>Nº Vistas</t>
  </si>
  <si>
    <t>Valor</t>
  </si>
  <si>
    <t>Num_Vista</t>
  </si>
  <si>
    <t>Preço total,Ponderado Vista $/m2</t>
  </si>
  <si>
    <t>Preço ponderado ($/m2)</t>
  </si>
  <si>
    <t>Preço total ponderado nº de vista ($/m2)</t>
  </si>
  <si>
    <t>IUP (1,5%)</t>
  </si>
  <si>
    <t>(sem ponderação)</t>
  </si>
  <si>
    <t>Matriz Decisão</t>
  </si>
  <si>
    <r>
      <t>Código do Bairro (</t>
    </r>
    <r>
      <rPr>
        <b/>
        <sz val="8"/>
        <rFont val="Arial"/>
        <family val="2"/>
      </rPr>
      <t>Zonas Urbanas</t>
    </r>
    <r>
      <rPr>
        <sz val="8"/>
        <rFont val="Arial"/>
        <family val="2"/>
      </rPr>
      <t xml:space="preserve">: 0100-Praia Norte; 0200-Praia Centro; 0300-Praia Sul; 0400-Praia Oriental; 0500-Praia Ocidental; </t>
    </r>
    <r>
      <rPr>
        <b/>
        <sz val="8"/>
        <rFont val="Arial"/>
        <family val="2"/>
      </rPr>
      <t>Zonas Periurbanas/Rurais</t>
    </r>
    <r>
      <rPr>
        <sz val="8"/>
        <rFont val="Arial"/>
        <family val="2"/>
      </rPr>
      <t>: 0600-Praia Nordeste; 0700-Praia Noroeste; 0800-Praia Sudoeste)</t>
    </r>
  </si>
  <si>
    <t>Cálculo Valor Ampliação Horizontal (*)</t>
  </si>
  <si>
    <t>Área #1</t>
  </si>
  <si>
    <t>Área #2</t>
  </si>
  <si>
    <t>Uso #1</t>
  </si>
  <si>
    <t>Uso #2</t>
  </si>
  <si>
    <t>nº Piso #1</t>
  </si>
  <si>
    <t>nº Piso #2</t>
  </si>
  <si>
    <t>(*): não inclui IUP e Custas de Terreno</t>
  </si>
  <si>
    <t>pode incluir Ampliação Vertical e Mudança de Uso</t>
  </si>
  <si>
    <t>Diferença Área</t>
  </si>
  <si>
    <t>Diferença Pisos</t>
  </si>
  <si>
    <t>Certidão</t>
  </si>
  <si>
    <t>Imposto Selo</t>
  </si>
  <si>
    <t>Contrato Compra e Venda</t>
  </si>
  <si>
    <t>Contrato Direito Superficie</t>
  </si>
  <si>
    <t>Contrato Promessa Compra e Venda</t>
  </si>
  <si>
    <t>Cálculo Ampliação Área Coberta (*)</t>
  </si>
  <si>
    <t>Área Coberta #1</t>
  </si>
  <si>
    <t>Área Coberta #2</t>
  </si>
  <si>
    <t>V1</t>
  </si>
  <si>
    <t>V2</t>
  </si>
  <si>
    <t>(cálculo geral/em simultâneo de ampliações e mudanças de uso)</t>
  </si>
  <si>
    <t>ponderação mínima Tabela Mudança de Uso: 0,05</t>
  </si>
  <si>
    <t>TOTAL (CVE)</t>
  </si>
  <si>
    <t>VALOR CALCULADO</t>
  </si>
  <si>
    <t>DESCRIÇÃO DO APROVEITAMENTO URBANÍSTICO (FORMAÇÃO DE PREÇO TERRENO #1)</t>
  </si>
  <si>
    <t>DESCRIÇÃO DO APROVEITAMENTO URBANÍSTICO (FORMAÇÃO DE PREÇO TERRENO #2)</t>
  </si>
  <si>
    <t>(Preço ref. Bairro*0,05*Área)</t>
  </si>
  <si>
    <r>
      <rPr>
        <b/>
        <sz val="10"/>
        <rFont val="Arial"/>
        <family val="2"/>
      </rPr>
      <t>[</t>
    </r>
    <r>
      <rPr>
        <sz val="10"/>
        <rFont val="Arial"/>
        <family val="2"/>
      </rPr>
      <t>SUB-BAIRRO</t>
    </r>
    <r>
      <rPr>
        <b/>
        <sz val="10"/>
        <rFont val="Arial"/>
        <family val="2"/>
      </rPr>
      <t>]-[</t>
    </r>
    <r>
      <rPr>
        <sz val="10"/>
        <rFont val="Arial"/>
        <family val="2"/>
      </rPr>
      <t>QUARTEIRÃO</t>
    </r>
    <r>
      <rPr>
        <b/>
        <sz val="10"/>
        <rFont val="Arial"/>
        <family val="2"/>
      </rPr>
      <t>]-[</t>
    </r>
    <r>
      <rPr>
        <sz val="10"/>
        <rFont val="Arial"/>
        <family val="2"/>
      </rPr>
      <t>LOTE</t>
    </r>
    <r>
      <rPr>
        <b/>
        <sz val="10"/>
        <rFont val="Arial"/>
        <family val="2"/>
      </rPr>
      <t>] :</t>
    </r>
  </si>
  <si>
    <t>0-0-0</t>
  </si>
  <si>
    <t>LOCALIZAÇÃO DO TERRENO (BAIRRO/LOCALIDADE):</t>
  </si>
  <si>
    <t>Parametro Valorização do Bairro:</t>
  </si>
  <si>
    <t>Nº Processo</t>
  </si>
  <si>
    <t>Referência Cadastral</t>
  </si>
  <si>
    <t>xxx</t>
  </si>
  <si>
    <t>Referência/Nº de Matriz (Código da Matriz):</t>
  </si>
  <si>
    <t>(ex: R_123-0)</t>
  </si>
  <si>
    <t>OBS:</t>
  </si>
  <si>
    <t>Preço ref. Bairro</t>
  </si>
  <si>
    <t>Área</t>
  </si>
  <si>
    <t xml:space="preserve">Diferencial: </t>
  </si>
  <si>
    <t>(m2)</t>
  </si>
  <si>
    <t>(*): não inclui IUP e Custas de Terreno/Ampliação Horizontal</t>
  </si>
  <si>
    <t>Ponderação MU</t>
  </si>
  <si>
    <t>VALOR CALCULADO:</t>
  </si>
  <si>
    <t>Valor Mudança de Uso (MU):</t>
  </si>
  <si>
    <t>(*): inclui IUP e Custas de Terreno/Ampliação Horizontal</t>
  </si>
  <si>
    <t>Diferencial</t>
  </si>
  <si>
    <t>Preço ref. Área Coberta</t>
  </si>
  <si>
    <t>Área Verde #1</t>
  </si>
  <si>
    <t>Área Verde #2</t>
  </si>
  <si>
    <t>A</t>
  </si>
  <si>
    <t>B</t>
  </si>
  <si>
    <t>C</t>
  </si>
  <si>
    <t>Área de cálculo</t>
  </si>
  <si>
    <t>Nº Estacionamento Necessário</t>
  </si>
  <si>
    <t>Nº Estacionamento Projecto</t>
  </si>
  <si>
    <t>Déficit do nº Estacionamento</t>
  </si>
  <si>
    <t>Área ref Estacionamento (2,5 x 5 m2)</t>
  </si>
  <si>
    <t>Preço ref.</t>
  </si>
  <si>
    <t>Cálculo Déficit Estacionamento (*)</t>
  </si>
  <si>
    <t>(*) Artigo 27º do PDM da Praia (BO 68/2016 de 7 de Dezembro)</t>
  </si>
  <si>
    <t>Cálculo Valor Ampliação Vertical/Outras Alterações</t>
  </si>
  <si>
    <t>PDM (BO 68/2016 de 7/12); Revisão Geral</t>
  </si>
  <si>
    <t>MU</t>
  </si>
  <si>
    <t>(parâmetros urbanísticos de referência)</t>
  </si>
  <si>
    <t>Valor Ampliação Horizontal/Vertical/Outras</t>
  </si>
  <si>
    <t>IUP e Custas de Terreno</t>
  </si>
  <si>
    <t>Cálculo Ampliação Vertical/Outras Alterações (*)</t>
  </si>
  <si>
    <t>Valor Ampliação Vertical/Outras Alterações</t>
  </si>
  <si>
    <t>Valor Ampliação Área Coberta</t>
  </si>
  <si>
    <t>Valor Ampliação Área Verde/Descoberta</t>
  </si>
  <si>
    <t>Ponderação Uso/Mudança</t>
  </si>
  <si>
    <t>Cálculo Valor Mudança de Uso (MU):</t>
  </si>
  <si>
    <t>Cálculo Ampliação Área Verde/Descoberta(*)</t>
  </si>
  <si>
    <t>Valor Déficit Estacionamento</t>
  </si>
  <si>
    <t>Défict Estacion.</t>
  </si>
  <si>
    <t>X</t>
  </si>
  <si>
    <t>Escritura/Contrato Compra e Venda</t>
  </si>
  <si>
    <t>Escritura/Contrato Direito Superficie</t>
  </si>
  <si>
    <t>Escritura/Contrato Promessa Compra e Venda</t>
  </si>
  <si>
    <t>Número de Prestações</t>
  </si>
  <si>
    <t>20xxxx</t>
  </si>
  <si>
    <t>Ponderação Estacionamento</t>
  </si>
  <si>
    <t>Ponderação Área Coberta</t>
  </si>
  <si>
    <t>Ponderação Área Verde</t>
  </si>
  <si>
    <t>Cálculo Valor Ampliação Horizontal*</t>
  </si>
  <si>
    <t>(*: parâmetros urbanísticos base de referência)</t>
  </si>
  <si>
    <t>5.1</t>
  </si>
  <si>
    <t>3.2</t>
  </si>
  <si>
    <t>3.1</t>
  </si>
  <si>
    <t>FAVT 1</t>
  </si>
  <si>
    <t>FAVT 2</t>
  </si>
  <si>
    <t>Versão:       FAVT V4.1   (2020-07)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</si>
</sst>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_(&quot;$&quot;* #,##0.00_);_(&quot;$&quot;* \(#,##0.00\);_(&quot;$&quot;* &quot;-&quot;??_);_(@_)"/>
    <numFmt numFmtId="165" formatCode="0.0%"/>
    <numFmt numFmtId="166" formatCode="@\ \ "/>
  </numFmts>
  <fonts count="65" x14ac:knownFonts="1">
    <font>
      <sz val="11"/>
      <color theme="1"/>
      <name val="Calibri"/>
      <family val="2"/>
      <scheme val="minor"/>
    </font>
    <font>
      <b/>
      <sz val="9"/>
      <name val="Verdana"/>
      <family val="2"/>
    </font>
    <font>
      <b/>
      <sz val="7"/>
      <name val="Verdana"/>
      <family val="2"/>
    </font>
    <font>
      <sz val="7"/>
      <name val="Arial"/>
      <family val="2"/>
    </font>
    <font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sz val="20"/>
      <color indexed="23"/>
      <name val="Arial Black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FF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  <font>
      <sz val="10"/>
      <color theme="1" tint="0.499984740745262"/>
      <name val="Arial"/>
      <family val="2"/>
    </font>
    <font>
      <b/>
      <sz val="9"/>
      <name val="Arial"/>
      <family val="2"/>
    </font>
    <font>
      <b/>
      <sz val="16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8"/>
      <color rgb="FF0000FF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2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/>
      <right/>
      <top style="thin">
        <color theme="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4" borderId="41" applyNumberFormat="0" applyAlignment="0" applyProtection="0"/>
    <xf numFmtId="0" fontId="4" fillId="0" borderId="0"/>
    <xf numFmtId="9" fontId="13" fillId="0" borderId="0" applyFont="0" applyFill="0" applyBorder="0" applyAlignment="0" applyProtection="0"/>
    <xf numFmtId="0" fontId="16" fillId="3" borderId="42" applyNumberFormat="0" applyAlignment="0" applyProtection="0"/>
    <xf numFmtId="43" fontId="13" fillId="0" borderId="0" applyFont="0" applyFill="0" applyBorder="0" applyAlignment="0" applyProtection="0"/>
  </cellStyleXfs>
  <cellXfs count="496">
    <xf numFmtId="0" fontId="0" fillId="0" borderId="0" xfId="0"/>
    <xf numFmtId="4" fontId="0" fillId="0" borderId="0" xfId="0" applyNumberFormat="1"/>
    <xf numFmtId="0" fontId="0" fillId="0" borderId="1" xfId="0" applyBorder="1"/>
    <xf numFmtId="0" fontId="19" fillId="0" borderId="0" xfId="0" applyFont="1"/>
    <xf numFmtId="4" fontId="19" fillId="0" borderId="0" xfId="0" applyNumberFormat="1" applyFont="1"/>
    <xf numFmtId="0" fontId="0" fillId="0" borderId="2" xfId="0" applyBorder="1"/>
    <xf numFmtId="0" fontId="0" fillId="0" borderId="1" xfId="0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2" fontId="20" fillId="5" borderId="3" xfId="0" applyNumberFormat="1" applyFont="1" applyFill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2" fontId="20" fillId="0" borderId="6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5" borderId="0" xfId="0" applyNumberFormat="1" applyFont="1" applyFill="1" applyBorder="1" applyAlignment="1">
      <alignment horizontal="center" vertical="center"/>
    </xf>
    <xf numFmtId="2" fontId="20" fillId="0" borderId="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5" borderId="9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Fill="1"/>
    <xf numFmtId="3" fontId="21" fillId="0" borderId="0" xfId="0" applyNumberFormat="1" applyFont="1" applyFill="1" applyAlignment="1">
      <alignment horizontal="center"/>
    </xf>
    <xf numFmtId="2" fontId="21" fillId="0" borderId="0" xfId="0" applyNumberFormat="1" applyFont="1" applyFill="1" applyAlignment="1">
      <alignment horizontal="center"/>
    </xf>
    <xf numFmtId="4" fontId="0" fillId="0" borderId="0" xfId="0" applyNumberFormat="1" applyFill="1"/>
    <xf numFmtId="0" fontId="22" fillId="6" borderId="43" xfId="0" applyFont="1" applyFill="1" applyBorder="1" applyAlignment="1">
      <alignment horizontal="center" vertical="center"/>
    </xf>
    <xf numFmtId="3" fontId="22" fillId="6" borderId="43" xfId="0" applyNumberFormat="1" applyFont="1" applyFill="1" applyBorder="1" applyAlignment="1">
      <alignment horizontal="center" vertical="center"/>
    </xf>
    <xf numFmtId="3" fontId="22" fillId="7" borderId="0" xfId="0" applyNumberFormat="1" applyFont="1" applyFill="1" applyBorder="1" applyAlignment="1">
      <alignment horizontal="center" vertical="center"/>
    </xf>
    <xf numFmtId="4" fontId="22" fillId="6" borderId="0" xfId="0" applyNumberFormat="1" applyFont="1" applyFill="1" applyBorder="1" applyAlignment="1">
      <alignment horizontal="center" vertical="center"/>
    </xf>
    <xf numFmtId="3" fontId="22" fillId="6" borderId="0" xfId="0" applyNumberFormat="1" applyFont="1" applyFill="1" applyBorder="1" applyAlignment="1">
      <alignment horizontal="center" vertical="center"/>
    </xf>
    <xf numFmtId="3" fontId="23" fillId="0" borderId="0" xfId="0" applyNumberFormat="1" applyFont="1" applyFill="1" applyBorder="1" applyAlignment="1">
      <alignment horizontal="center" vertical="center"/>
    </xf>
    <xf numFmtId="3" fontId="24" fillId="0" borderId="10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Fill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3" fontId="25" fillId="0" borderId="44" xfId="0" applyNumberFormat="1" applyFont="1" applyBorder="1" applyAlignment="1">
      <alignment horizontal="left"/>
    </xf>
    <xf numFmtId="3" fontId="25" fillId="0" borderId="44" xfId="0" applyNumberFormat="1" applyFont="1" applyBorder="1" applyAlignment="1">
      <alignment horizontal="right"/>
    </xf>
    <xf numFmtId="3" fontId="25" fillId="8" borderId="44" xfId="0" applyNumberFormat="1" applyFont="1" applyFill="1" applyBorder="1" applyAlignment="1">
      <alignment horizontal="right"/>
    </xf>
    <xf numFmtId="4" fontId="25" fillId="0" borderId="44" xfId="0" applyNumberFormat="1" applyFont="1" applyBorder="1" applyAlignment="1">
      <alignment horizontal="right"/>
    </xf>
    <xf numFmtId="3" fontId="25" fillId="0" borderId="0" xfId="0" applyNumberFormat="1" applyFont="1" applyFill="1" applyBorder="1" applyAlignment="1">
      <alignment horizontal="right"/>
    </xf>
    <xf numFmtId="3" fontId="26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3" fontId="27" fillId="0" borderId="0" xfId="0" applyNumberFormat="1" applyFont="1" applyFill="1" applyBorder="1" applyAlignment="1">
      <alignment horizontal="center"/>
    </xf>
    <xf numFmtId="2" fontId="28" fillId="0" borderId="0" xfId="0" applyNumberFormat="1" applyFont="1" applyFill="1" applyBorder="1" applyAlignment="1">
      <alignment horizontal="center"/>
    </xf>
    <xf numFmtId="4" fontId="25" fillId="0" borderId="0" xfId="0" applyNumberFormat="1" applyFont="1" applyFill="1" applyBorder="1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2" fontId="29" fillId="0" borderId="0" xfId="0" applyNumberFormat="1" applyFont="1" applyFill="1" applyAlignment="1">
      <alignment horizontal="center"/>
    </xf>
    <xf numFmtId="3" fontId="24" fillId="0" borderId="0" xfId="0" applyNumberFormat="1" applyFont="1" applyFill="1" applyBorder="1" applyAlignment="1">
      <alignment horizontal="left" vertical="center"/>
    </xf>
    <xf numFmtId="3" fontId="17" fillId="0" borderId="0" xfId="0" applyNumberFormat="1" applyFont="1" applyFill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3" fontId="30" fillId="8" borderId="11" xfId="0" applyNumberFormat="1" applyFont="1" applyFill="1" applyBorder="1" applyAlignment="1">
      <alignment horizontal="center"/>
    </xf>
    <xf numFmtId="3" fontId="31" fillId="8" borderId="12" xfId="0" applyNumberFormat="1" applyFont="1" applyFill="1" applyBorder="1" applyAlignment="1">
      <alignment horizontal="center"/>
    </xf>
    <xf numFmtId="2" fontId="30" fillId="8" borderId="12" xfId="0" applyNumberFormat="1" applyFont="1" applyFill="1" applyBorder="1" applyAlignment="1">
      <alignment horizontal="center"/>
    </xf>
    <xf numFmtId="3" fontId="31" fillId="8" borderId="13" xfId="0" applyNumberFormat="1" applyFont="1" applyFill="1" applyBorder="1" applyAlignment="1">
      <alignment horizontal="center"/>
    </xf>
    <xf numFmtId="0" fontId="0" fillId="0" borderId="14" xfId="0" applyBorder="1"/>
    <xf numFmtId="2" fontId="0" fillId="0" borderId="0" xfId="0" applyNumberFormat="1"/>
    <xf numFmtId="0" fontId="32" fillId="0" borderId="14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9" borderId="0" xfId="0" applyFill="1"/>
    <xf numFmtId="0" fontId="5" fillId="0" borderId="14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0" fillId="10" borderId="14" xfId="0" applyFill="1" applyBorder="1"/>
    <xf numFmtId="0" fontId="0" fillId="0" borderId="0" xfId="0" applyFill="1"/>
    <xf numFmtId="0" fontId="25" fillId="0" borderId="45" xfId="0" applyFont="1" applyFill="1" applyBorder="1" applyAlignment="1">
      <alignment horizontal="center"/>
    </xf>
    <xf numFmtId="0" fontId="0" fillId="0" borderId="0" xfId="0" applyBorder="1"/>
    <xf numFmtId="0" fontId="1" fillId="0" borderId="14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left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4" fontId="33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4" fontId="34" fillId="5" borderId="14" xfId="0" applyNumberFormat="1" applyFont="1" applyFill="1" applyBorder="1" applyAlignment="1">
      <alignment horizontal="center" vertical="center"/>
    </xf>
    <xf numFmtId="4" fontId="34" fillId="5" borderId="20" xfId="0" applyNumberFormat="1" applyFont="1" applyFill="1" applyBorder="1" applyAlignment="1">
      <alignment horizontal="center" vertical="center"/>
    </xf>
    <xf numFmtId="4" fontId="27" fillId="5" borderId="14" xfId="0" applyNumberFormat="1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7" fillId="5" borderId="23" xfId="0" applyFont="1" applyFill="1" applyBorder="1" applyAlignment="1">
      <alignment horizontal="center" vertical="center"/>
    </xf>
    <xf numFmtId="4" fontId="25" fillId="0" borderId="18" xfId="0" applyNumberFormat="1" applyFont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4" fontId="35" fillId="0" borderId="0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center"/>
    </xf>
    <xf numFmtId="0" fontId="28" fillId="5" borderId="25" xfId="0" applyFont="1" applyFill="1" applyBorder="1" applyAlignment="1">
      <alignment vertical="center"/>
    </xf>
    <xf numFmtId="4" fontId="27" fillId="5" borderId="26" xfId="0" applyNumberFormat="1" applyFont="1" applyFill="1" applyBorder="1" applyAlignment="1">
      <alignment vertical="center"/>
    </xf>
    <xf numFmtId="4" fontId="37" fillId="5" borderId="26" xfId="0" applyNumberFormat="1" applyFont="1" applyFill="1" applyBorder="1" applyAlignment="1">
      <alignment vertical="center"/>
    </xf>
    <xf numFmtId="0" fontId="34" fillId="0" borderId="27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25" fillId="11" borderId="1" xfId="0" applyFont="1" applyFill="1" applyBorder="1" applyAlignment="1">
      <alignment vertical="center"/>
    </xf>
    <xf numFmtId="4" fontId="25" fillId="11" borderId="28" xfId="0" applyNumberFormat="1" applyFont="1" applyFill="1" applyBorder="1" applyAlignment="1">
      <alignment vertical="center"/>
    </xf>
    <xf numFmtId="0" fontId="25" fillId="5" borderId="1" xfId="0" applyFont="1" applyFill="1" applyBorder="1" applyAlignment="1">
      <alignment vertical="center"/>
    </xf>
    <xf numFmtId="4" fontId="25" fillId="5" borderId="28" xfId="0" applyNumberFormat="1" applyFont="1" applyFill="1" applyBorder="1" applyAlignment="1">
      <alignment vertical="center"/>
    </xf>
    <xf numFmtId="0" fontId="27" fillId="0" borderId="24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4" fontId="25" fillId="0" borderId="0" xfId="0" applyNumberFormat="1" applyFont="1" applyFill="1" applyBorder="1" applyAlignment="1">
      <alignment vertical="center"/>
    </xf>
    <xf numFmtId="4" fontId="27" fillId="0" borderId="18" xfId="0" applyNumberFormat="1" applyFont="1" applyFill="1" applyBorder="1" applyAlignment="1">
      <alignment vertical="center"/>
    </xf>
    <xf numFmtId="0" fontId="25" fillId="5" borderId="25" xfId="0" applyFont="1" applyFill="1" applyBorder="1" applyAlignment="1">
      <alignment vertical="center"/>
    </xf>
    <xf numFmtId="4" fontId="25" fillId="5" borderId="1" xfId="0" applyNumberFormat="1" applyFont="1" applyFill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1" fontId="27" fillId="5" borderId="14" xfId="0" applyNumberFormat="1" applyFont="1" applyFill="1" applyBorder="1" applyAlignment="1">
      <alignment horizontal="center" vertical="center"/>
    </xf>
    <xf numFmtId="0" fontId="34" fillId="0" borderId="24" xfId="0" applyFont="1" applyBorder="1" applyAlignment="1">
      <alignment horizontal="right" vertical="center"/>
    </xf>
    <xf numFmtId="0" fontId="21" fillId="0" borderId="0" xfId="0" applyFont="1" applyAlignment="1">
      <alignment horizontal="center"/>
    </xf>
    <xf numFmtId="0" fontId="37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4" fillId="0" borderId="0" xfId="0" applyFont="1"/>
    <xf numFmtId="0" fontId="18" fillId="0" borderId="0" xfId="0" applyFont="1" applyAlignment="1">
      <alignment horizontal="right"/>
    </xf>
    <xf numFmtId="0" fontId="18" fillId="0" borderId="0" xfId="0" applyFont="1"/>
    <xf numFmtId="0" fontId="0" fillId="0" borderId="2" xfId="0" applyBorder="1" applyAlignment="1">
      <alignment vertical="top"/>
    </xf>
    <xf numFmtId="0" fontId="29" fillId="0" borderId="14" xfId="0" applyFont="1" applyFill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3" fontId="39" fillId="0" borderId="0" xfId="0" applyNumberFormat="1" applyFont="1" applyAlignment="1">
      <alignment horizontal="left"/>
    </xf>
    <xf numFmtId="9" fontId="13" fillId="0" borderId="0" xfId="3" applyFont="1" applyAlignment="1">
      <alignment horizontal="center"/>
    </xf>
    <xf numFmtId="4" fontId="0" fillId="0" borderId="0" xfId="0" applyNumberFormat="1" applyFill="1" applyAlignment="1">
      <alignment horizontal="center"/>
    </xf>
    <xf numFmtId="0" fontId="30" fillId="0" borderId="0" xfId="0" applyFont="1" applyAlignment="1">
      <alignment horizontal="center"/>
    </xf>
    <xf numFmtId="0" fontId="25" fillId="11" borderId="1" xfId="0" applyFont="1" applyFill="1" applyBorder="1" applyAlignment="1">
      <alignment horizontal="right" vertical="center"/>
    </xf>
    <xf numFmtId="4" fontId="31" fillId="0" borderId="0" xfId="4" applyNumberFormat="1" applyFont="1" applyFill="1" applyBorder="1" applyAlignment="1">
      <alignment vertical="center"/>
    </xf>
    <xf numFmtId="0" fontId="38" fillId="0" borderId="19" xfId="0" applyFont="1" applyBorder="1" applyAlignment="1">
      <alignment horizontal="right" vertical="center"/>
    </xf>
    <xf numFmtId="2" fontId="37" fillId="5" borderId="18" xfId="0" applyNumberFormat="1" applyFont="1" applyFill="1" applyBorder="1" applyAlignment="1">
      <alignment vertical="center"/>
    </xf>
    <xf numFmtId="0" fontId="40" fillId="4" borderId="41" xfId="1" applyFont="1"/>
    <xf numFmtId="165" fontId="40" fillId="4" borderId="41" xfId="1" applyNumberFormat="1" applyFont="1"/>
    <xf numFmtId="4" fontId="25" fillId="5" borderId="18" xfId="0" applyNumberFormat="1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Alignment="1">
      <alignment vertical="center"/>
    </xf>
    <xf numFmtId="0" fontId="7" fillId="0" borderId="0" xfId="2" applyFont="1" applyAlignment="1">
      <alignment horizontal="right" vertical="center"/>
    </xf>
    <xf numFmtId="0" fontId="8" fillId="0" borderId="0" xfId="2" applyFont="1"/>
    <xf numFmtId="0" fontId="4" fillId="0" borderId="0" xfId="2"/>
    <xf numFmtId="0" fontId="9" fillId="0" borderId="0" xfId="2" applyFont="1"/>
    <xf numFmtId="0" fontId="9" fillId="0" borderId="30" xfId="2" applyFont="1" applyBorder="1" applyAlignment="1">
      <alignment horizontal="left"/>
    </xf>
    <xf numFmtId="0" fontId="4" fillId="0" borderId="0" xfId="2" applyFont="1"/>
    <xf numFmtId="14" fontId="4" fillId="0" borderId="31" xfId="2" applyNumberFormat="1" applyBorder="1" applyAlignment="1">
      <alignment horizontal="left"/>
    </xf>
    <xf numFmtId="0" fontId="11" fillId="0" borderId="0" xfId="2" applyFont="1"/>
    <xf numFmtId="0" fontId="9" fillId="0" borderId="0" xfId="2" applyFont="1" applyBorder="1"/>
    <xf numFmtId="0" fontId="25" fillId="0" borderId="44" xfId="0" applyFont="1" applyBorder="1" applyAlignment="1">
      <alignment horizontal="center" vertical="center"/>
    </xf>
    <xf numFmtId="3" fontId="25" fillId="0" borderId="44" xfId="0" applyNumberFormat="1" applyFont="1" applyBorder="1" applyAlignment="1">
      <alignment horizontal="left" vertical="center"/>
    </xf>
    <xf numFmtId="4" fontId="27" fillId="5" borderId="14" xfId="0" applyNumberFormat="1" applyFont="1" applyFill="1" applyBorder="1" applyAlignment="1">
      <alignment horizontal="right" vertical="center"/>
    </xf>
    <xf numFmtId="0" fontId="28" fillId="0" borderId="0" xfId="2" applyFont="1"/>
    <xf numFmtId="0" fontId="4" fillId="0" borderId="0" xfId="2" applyBorder="1"/>
    <xf numFmtId="4" fontId="11" fillId="0" borderId="0" xfId="2" applyNumberFormat="1" applyFont="1" applyAlignment="1">
      <alignment horizontal="right" vertical="center"/>
    </xf>
    <xf numFmtId="4" fontId="11" fillId="0" borderId="0" xfId="2" applyNumberFormat="1" applyFont="1"/>
    <xf numFmtId="0" fontId="11" fillId="0" borderId="0" xfId="2" applyFont="1" applyAlignment="1">
      <alignment horizontal="right"/>
    </xf>
    <xf numFmtId="0" fontId="44" fillId="0" borderId="19" xfId="2" applyFont="1" applyBorder="1"/>
    <xf numFmtId="0" fontId="4" fillId="0" borderId="19" xfId="2" applyBorder="1"/>
    <xf numFmtId="0" fontId="9" fillId="0" borderId="19" xfId="2" applyFont="1" applyBorder="1"/>
    <xf numFmtId="0" fontId="36" fillId="0" borderId="36" xfId="2" applyFont="1" applyBorder="1" applyAlignment="1">
      <alignment horizontal="center" vertical="center"/>
    </xf>
    <xf numFmtId="0" fontId="4" fillId="5" borderId="19" xfId="2" applyFill="1" applyBorder="1" applyAlignment="1">
      <alignment horizontal="right"/>
    </xf>
    <xf numFmtId="4" fontId="27" fillId="5" borderId="38" xfId="0" applyNumberFormat="1" applyFont="1" applyFill="1" applyBorder="1" applyAlignment="1">
      <alignment horizontal="right" vertical="center"/>
    </xf>
    <xf numFmtId="4" fontId="27" fillId="5" borderId="39" xfId="0" applyNumberFormat="1" applyFont="1" applyFill="1" applyBorder="1" applyAlignment="1">
      <alignment horizontal="right" vertical="center"/>
    </xf>
    <xf numFmtId="4" fontId="37" fillId="5" borderId="39" xfId="0" applyNumberFormat="1" applyFont="1" applyFill="1" applyBorder="1" applyAlignment="1">
      <alignment horizontal="right" vertical="center"/>
    </xf>
    <xf numFmtId="0" fontId="11" fillId="0" borderId="37" xfId="2" applyFont="1" applyBorder="1" applyAlignment="1">
      <alignment horizontal="center"/>
    </xf>
    <xf numFmtId="166" fontId="11" fillId="0" borderId="37" xfId="2" applyNumberFormat="1" applyFont="1" applyBorder="1" applyAlignment="1">
      <alignment horizontal="right" vertical="center"/>
    </xf>
    <xf numFmtId="4" fontId="11" fillId="0" borderId="37" xfId="2" applyNumberFormat="1" applyFont="1" applyBorder="1"/>
    <xf numFmtId="0" fontId="11" fillId="0" borderId="37" xfId="2" applyFont="1" applyBorder="1" applyAlignment="1">
      <alignment horizontal="right"/>
    </xf>
    <xf numFmtId="3" fontId="25" fillId="9" borderId="44" xfId="0" applyNumberFormat="1" applyFont="1" applyFill="1" applyBorder="1" applyAlignment="1">
      <alignment horizontal="left"/>
    </xf>
    <xf numFmtId="0" fontId="47" fillId="15" borderId="19" xfId="0" applyFont="1" applyFill="1" applyBorder="1" applyAlignment="1">
      <alignment horizontal="center"/>
    </xf>
    <xf numFmtId="0" fontId="47" fillId="15" borderId="10" xfId="0" applyFont="1" applyFill="1" applyBorder="1" applyAlignment="1">
      <alignment horizontal="center"/>
    </xf>
    <xf numFmtId="0" fontId="48" fillId="0" borderId="48" xfId="0" applyFont="1" applyBorder="1" applyAlignment="1">
      <alignment horizontal="center"/>
    </xf>
    <xf numFmtId="0" fontId="48" fillId="0" borderId="10" xfId="0" applyFont="1" applyBorder="1"/>
    <xf numFmtId="0" fontId="45" fillId="0" borderId="54" xfId="0" applyFont="1" applyBorder="1" applyAlignment="1">
      <alignment horizontal="center"/>
    </xf>
    <xf numFmtId="3" fontId="48" fillId="0" borderId="10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49" fontId="4" fillId="0" borderId="0" xfId="2" applyNumberFormat="1"/>
    <xf numFmtId="0" fontId="4" fillId="0" borderId="0" xfId="2" applyAlignment="1">
      <alignment horizontal="right"/>
    </xf>
    <xf numFmtId="0" fontId="9" fillId="0" borderId="0" xfId="2" applyFont="1" applyAlignment="1">
      <alignment horizontal="center"/>
    </xf>
    <xf numFmtId="4" fontId="24" fillId="0" borderId="0" xfId="0" applyNumberFormat="1" applyFont="1" applyFill="1" applyBorder="1" applyAlignment="1">
      <alignment horizontal="right" vertical="center"/>
    </xf>
    <xf numFmtId="4" fontId="42" fillId="0" borderId="0" xfId="2" applyNumberFormat="1" applyFont="1" applyFill="1" applyBorder="1" applyAlignment="1">
      <alignment horizontal="right" vertical="center"/>
    </xf>
    <xf numFmtId="4" fontId="18" fillId="0" borderId="0" xfId="0" applyNumberFormat="1" applyFont="1" applyAlignment="1">
      <alignment vertical="center"/>
    </xf>
    <xf numFmtId="4" fontId="27" fillId="5" borderId="0" xfId="0" applyNumberFormat="1" applyFont="1" applyFill="1" applyBorder="1" applyAlignment="1">
      <alignment vertical="center"/>
    </xf>
    <xf numFmtId="0" fontId="25" fillId="0" borderId="1" xfId="0" applyFont="1" applyFill="1" applyBorder="1" applyAlignment="1">
      <alignment horizontal="center" vertical="center"/>
    </xf>
    <xf numFmtId="4" fontId="17" fillId="0" borderId="0" xfId="0" applyNumberFormat="1" applyFont="1"/>
    <xf numFmtId="4" fontId="26" fillId="5" borderId="0" xfId="0" applyNumberFormat="1" applyFont="1" applyFill="1" applyBorder="1" applyAlignment="1">
      <alignment vertical="center"/>
    </xf>
    <xf numFmtId="0" fontId="36" fillId="16" borderId="25" xfId="0" applyFont="1" applyFill="1" applyBorder="1" applyAlignment="1">
      <alignment vertical="center"/>
    </xf>
    <xf numFmtId="0" fontId="28" fillId="16" borderId="1" xfId="0" applyFont="1" applyFill="1" applyBorder="1" applyAlignment="1">
      <alignment vertical="center"/>
    </xf>
    <xf numFmtId="4" fontId="28" fillId="16" borderId="28" xfId="0" applyNumberFormat="1" applyFont="1" applyFill="1" applyBorder="1" applyAlignment="1">
      <alignment vertical="center"/>
    </xf>
    <xf numFmtId="4" fontId="36" fillId="16" borderId="46" xfId="1" applyNumberFormat="1" applyFont="1" applyFill="1" applyBorder="1" applyAlignment="1">
      <alignment vertical="center"/>
    </xf>
    <xf numFmtId="4" fontId="27" fillId="5" borderId="14" xfId="0" applyNumberFormat="1" applyFont="1" applyFill="1" applyBorder="1" applyAlignment="1">
      <alignment vertical="center"/>
    </xf>
    <xf numFmtId="4" fontId="31" fillId="5" borderId="24" xfId="4" applyNumberFormat="1" applyFont="1" applyFill="1" applyBorder="1" applyAlignment="1">
      <alignment vertical="center"/>
    </xf>
    <xf numFmtId="4" fontId="0" fillId="0" borderId="0" xfId="0" applyNumberFormat="1" applyBorder="1"/>
    <xf numFmtId="0" fontId="0" fillId="0" borderId="61" xfId="0" applyBorder="1"/>
    <xf numFmtId="0" fontId="0" fillId="0" borderId="62" xfId="0" applyBorder="1"/>
    <xf numFmtId="0" fontId="0" fillId="0" borderId="35" xfId="0" applyBorder="1"/>
    <xf numFmtId="0" fontId="0" fillId="0" borderId="22" xfId="0" applyBorder="1"/>
    <xf numFmtId="0" fontId="0" fillId="0" borderId="33" xfId="0" applyBorder="1"/>
    <xf numFmtId="0" fontId="0" fillId="0" borderId="26" xfId="0" applyBorder="1"/>
    <xf numFmtId="0" fontId="0" fillId="0" borderId="11" xfId="0" applyBorder="1"/>
    <xf numFmtId="0" fontId="0" fillId="0" borderId="13" xfId="0" applyBorder="1"/>
    <xf numFmtId="4" fontId="37" fillId="5" borderId="10" xfId="0" applyNumberFormat="1" applyFont="1" applyFill="1" applyBorder="1" applyAlignment="1">
      <alignment vertical="center"/>
    </xf>
    <xf numFmtId="166" fontId="4" fillId="0" borderId="0" xfId="2" applyNumberFormat="1" applyFont="1" applyBorder="1" applyAlignment="1">
      <alignment horizontal="right" vertical="center"/>
    </xf>
    <xf numFmtId="166" fontId="9" fillId="0" borderId="0" xfId="2" applyNumberFormat="1" applyFont="1" applyBorder="1" applyAlignment="1">
      <alignment horizontal="right" vertical="center"/>
    </xf>
    <xf numFmtId="4" fontId="11" fillId="0" borderId="0" xfId="2" applyNumberFormat="1" applyFont="1" applyBorder="1" applyAlignment="1">
      <alignment horizontal="right" vertical="center"/>
    </xf>
    <xf numFmtId="4" fontId="11" fillId="0" borderId="0" xfId="2" applyNumberFormat="1" applyFont="1" applyBorder="1"/>
    <xf numFmtId="0" fontId="10" fillId="0" borderId="0" xfId="2" applyFont="1" applyBorder="1"/>
    <xf numFmtId="0" fontId="9" fillId="5" borderId="64" xfId="2" applyFont="1" applyFill="1" applyBorder="1" applyAlignment="1">
      <alignment horizontal="left"/>
    </xf>
    <xf numFmtId="49" fontId="4" fillId="5" borderId="65" xfId="2" applyNumberFormat="1" applyFont="1" applyFill="1" applyBorder="1" applyAlignment="1">
      <alignment horizontal="left"/>
    </xf>
    <xf numFmtId="0" fontId="4" fillId="0" borderId="0" xfId="2" applyAlignment="1">
      <alignment horizontal="right" vertical="center"/>
    </xf>
    <xf numFmtId="4" fontId="49" fillId="0" borderId="0" xfId="2" applyNumberFormat="1" applyFont="1" applyFill="1" applyBorder="1" applyAlignment="1">
      <alignment horizontal="right"/>
    </xf>
    <xf numFmtId="0" fontId="4" fillId="0" borderId="0" xfId="2" applyBorder="1" applyAlignment="1">
      <alignment vertical="center"/>
    </xf>
    <xf numFmtId="0" fontId="4" fillId="0" borderId="6" xfId="2" applyBorder="1"/>
    <xf numFmtId="4" fontId="28" fillId="0" borderId="0" xfId="2" applyNumberFormat="1" applyFont="1" applyBorder="1" applyAlignment="1">
      <alignment horizontal="right" vertical="center"/>
    </xf>
    <xf numFmtId="0" fontId="28" fillId="0" borderId="0" xfId="2" applyFont="1" applyBorder="1"/>
    <xf numFmtId="4" fontId="11" fillId="0" borderId="14" xfId="2" applyNumberFormat="1" applyFont="1" applyBorder="1"/>
    <xf numFmtId="4" fontId="11" fillId="0" borderId="14" xfId="2" applyNumberFormat="1" applyFont="1" applyBorder="1" applyAlignment="1">
      <alignment horizontal="right"/>
    </xf>
    <xf numFmtId="4" fontId="11" fillId="0" borderId="28" xfId="2" applyNumberFormat="1" applyFont="1" applyBorder="1"/>
    <xf numFmtId="9" fontId="11" fillId="0" borderId="0" xfId="3" applyFont="1"/>
    <xf numFmtId="0" fontId="11" fillId="0" borderId="6" xfId="2" applyFont="1" applyBorder="1"/>
    <xf numFmtId="0" fontId="11" fillId="0" borderId="0" xfId="2" applyFont="1" applyBorder="1"/>
    <xf numFmtId="4" fontId="11" fillId="0" borderId="33" xfId="2" applyNumberFormat="1" applyFont="1" applyBorder="1"/>
    <xf numFmtId="0" fontId="25" fillId="0" borderId="66" xfId="0" applyFont="1" applyBorder="1" applyAlignment="1">
      <alignment horizontal="left"/>
    </xf>
    <xf numFmtId="0" fontId="28" fillId="0" borderId="0" xfId="0" applyFont="1" applyFill="1" applyBorder="1" applyAlignment="1">
      <alignment horizontal="right" vertical="center"/>
    </xf>
    <xf numFmtId="4" fontId="53" fillId="0" borderId="0" xfId="0" applyNumberFormat="1" applyFont="1" applyAlignment="1">
      <alignment horizontal="center"/>
    </xf>
    <xf numFmtId="4" fontId="37" fillId="5" borderId="40" xfId="0" applyNumberFormat="1" applyFont="1" applyFill="1" applyBorder="1" applyAlignment="1">
      <alignment horizontal="right" vertical="center"/>
    </xf>
    <xf numFmtId="0" fontId="6" fillId="0" borderId="0" xfId="2" applyFont="1" applyBorder="1" applyAlignment="1">
      <alignment vertical="center"/>
    </xf>
    <xf numFmtId="0" fontId="7" fillId="0" borderId="0" xfId="2" applyFont="1" applyBorder="1" applyAlignment="1">
      <alignment horizontal="right" vertical="center"/>
    </xf>
    <xf numFmtId="0" fontId="8" fillId="0" borderId="0" xfId="2" applyFont="1" applyBorder="1"/>
    <xf numFmtId="0" fontId="9" fillId="0" borderId="0" xfId="2" applyFont="1" applyBorder="1" applyAlignment="1">
      <alignment horizontal="center"/>
    </xf>
    <xf numFmtId="0" fontId="4" fillId="0" borderId="0" xfId="2" applyBorder="1" applyAlignment="1">
      <alignment horizontal="right"/>
    </xf>
    <xf numFmtId="0" fontId="4" fillId="0" borderId="0" xfId="2" applyFont="1" applyBorder="1"/>
    <xf numFmtId="0" fontId="4" fillId="0" borderId="0" xfId="2" applyBorder="1" applyAlignment="1">
      <alignment horizontal="left" vertical="center"/>
    </xf>
    <xf numFmtId="0" fontId="11" fillId="0" borderId="0" xfId="2" applyFont="1" applyBorder="1" applyAlignment="1">
      <alignment horizontal="right"/>
    </xf>
    <xf numFmtId="0" fontId="25" fillId="0" borderId="0" xfId="0" applyFont="1" applyBorder="1" applyAlignment="1">
      <alignment horizontal="center"/>
    </xf>
    <xf numFmtId="14" fontId="4" fillId="0" borderId="20" xfId="2" applyNumberFormat="1" applyBorder="1" applyAlignment="1">
      <alignment horizontal="left"/>
    </xf>
    <xf numFmtId="4" fontId="52" fillId="0" borderId="0" xfId="0" applyNumberFormat="1" applyFont="1" applyBorder="1" applyAlignment="1">
      <alignment horizontal="center" vertical="center"/>
    </xf>
    <xf numFmtId="4" fontId="18" fillId="0" borderId="0" xfId="0" applyNumberFormat="1" applyFont="1" applyBorder="1" applyAlignment="1">
      <alignment vertical="center"/>
    </xf>
    <xf numFmtId="4" fontId="0" fillId="0" borderId="0" xfId="0" applyNumberFormat="1" applyBorder="1" applyAlignment="1">
      <alignment vertical="center"/>
    </xf>
    <xf numFmtId="4" fontId="29" fillId="0" borderId="0" xfId="0" applyNumberFormat="1" applyFont="1" applyAlignment="1">
      <alignment horizontal="right"/>
    </xf>
    <xf numFmtId="4" fontId="28" fillId="5" borderId="0" xfId="0" applyNumberFormat="1" applyFont="1" applyFill="1" applyBorder="1" applyAlignment="1">
      <alignment horizontal="right" vertical="center"/>
    </xf>
    <xf numFmtId="4" fontId="29" fillId="5" borderId="0" xfId="0" applyNumberFormat="1" applyFont="1" applyFill="1" applyAlignment="1">
      <alignment horizontal="right"/>
    </xf>
    <xf numFmtId="4" fontId="0" fillId="5" borderId="0" xfId="0" applyNumberFormat="1" applyFill="1" applyBorder="1" applyAlignment="1">
      <alignment horizontal="left"/>
    </xf>
    <xf numFmtId="4" fontId="0" fillId="0" borderId="0" xfId="0" applyNumberFormat="1" applyAlignment="1">
      <alignment horizontal="left"/>
    </xf>
    <xf numFmtId="4" fontId="0" fillId="5" borderId="0" xfId="0" applyNumberFormat="1" applyFill="1" applyAlignment="1">
      <alignment horizontal="left"/>
    </xf>
    <xf numFmtId="0" fontId="11" fillId="0" borderId="0" xfId="2" applyFont="1" applyBorder="1" applyAlignment="1">
      <alignment horizontal="center"/>
    </xf>
    <xf numFmtId="166" fontId="11" fillId="0" borderId="0" xfId="2" applyNumberFormat="1" applyFont="1" applyBorder="1" applyAlignment="1">
      <alignment horizontal="right" vertical="center"/>
    </xf>
    <xf numFmtId="4" fontId="31" fillId="0" borderId="0" xfId="0" applyNumberFormat="1" applyFont="1" applyBorder="1" applyAlignment="1">
      <alignment horizontal="center"/>
    </xf>
    <xf numFmtId="1" fontId="4" fillId="0" borderId="0" xfId="2" applyNumberFormat="1" applyBorder="1"/>
    <xf numFmtId="1" fontId="4" fillId="0" borderId="0" xfId="2" applyNumberFormat="1"/>
    <xf numFmtId="43" fontId="4" fillId="0" borderId="0" xfId="5" applyFont="1"/>
    <xf numFmtId="4" fontId="55" fillId="0" borderId="0" xfId="0" applyNumberFormat="1" applyFont="1"/>
    <xf numFmtId="166" fontId="56" fillId="0" borderId="0" xfId="2" applyNumberFormat="1" applyFont="1" applyAlignment="1">
      <alignment horizontal="right" vertical="center"/>
    </xf>
    <xf numFmtId="4" fontId="57" fillId="2" borderId="29" xfId="2" applyNumberFormat="1" applyFont="1" applyFill="1" applyBorder="1" applyAlignment="1">
      <alignment horizontal="right" vertical="center"/>
    </xf>
    <xf numFmtId="4" fontId="0" fillId="5" borderId="0" xfId="0" applyNumberFormat="1" applyFill="1"/>
    <xf numFmtId="4" fontId="0" fillId="0" borderId="0" xfId="0" applyNumberFormat="1" applyFill="1" applyBorder="1" applyAlignment="1">
      <alignment horizontal="left"/>
    </xf>
    <xf numFmtId="4" fontId="29" fillId="0" borderId="0" xfId="0" applyNumberFormat="1" applyFont="1" applyFill="1" applyBorder="1" applyAlignment="1">
      <alignment horizontal="right"/>
    </xf>
    <xf numFmtId="4" fontId="0" fillId="0" borderId="0" xfId="0" applyNumberFormat="1" applyFill="1" applyAlignment="1">
      <alignment horizontal="left"/>
    </xf>
    <xf numFmtId="4" fontId="29" fillId="0" borderId="0" xfId="0" applyNumberFormat="1" applyFont="1" applyFill="1" applyAlignment="1">
      <alignment horizontal="right"/>
    </xf>
    <xf numFmtId="4" fontId="33" fillId="5" borderId="0" xfId="0" applyNumberFormat="1" applyFont="1" applyFill="1"/>
    <xf numFmtId="0" fontId="10" fillId="0" borderId="37" xfId="2" applyFont="1" applyBorder="1" applyAlignment="1">
      <alignment horizontal="center"/>
    </xf>
    <xf numFmtId="4" fontId="10" fillId="0" borderId="37" xfId="2" applyNumberFormat="1" applyFont="1" applyBorder="1"/>
    <xf numFmtId="166" fontId="9" fillId="0" borderId="67" xfId="2" applyNumberFormat="1" applyFont="1" applyBorder="1" applyAlignment="1">
      <alignment horizontal="right" vertical="center"/>
    </xf>
    <xf numFmtId="4" fontId="30" fillId="5" borderId="29" xfId="2" applyNumberFormat="1" applyFont="1" applyFill="1" applyBorder="1"/>
    <xf numFmtId="0" fontId="10" fillId="0" borderId="37" xfId="2" applyFont="1" applyBorder="1" applyAlignment="1">
      <alignment horizontal="right"/>
    </xf>
    <xf numFmtId="4" fontId="18" fillId="0" borderId="0" xfId="0" applyNumberFormat="1" applyFont="1" applyFill="1" applyBorder="1" applyAlignment="1">
      <alignment horizontal="left"/>
    </xf>
    <xf numFmtId="4" fontId="18" fillId="0" borderId="0" xfId="0" applyNumberFormat="1" applyFont="1" applyFill="1" applyAlignment="1">
      <alignment horizontal="left"/>
    </xf>
    <xf numFmtId="0" fontId="9" fillId="0" borderId="0" xfId="2" applyFont="1" applyAlignment="1">
      <alignment horizontal="right"/>
    </xf>
    <xf numFmtId="0" fontId="9" fillId="0" borderId="14" xfId="2" applyFont="1" applyBorder="1" applyAlignment="1">
      <alignment horizontal="center"/>
    </xf>
    <xf numFmtId="4" fontId="28" fillId="17" borderId="14" xfId="2" applyNumberFormat="1" applyFont="1" applyFill="1" applyBorder="1" applyAlignment="1">
      <alignment horizontal="right" vertical="center"/>
    </xf>
    <xf numFmtId="3" fontId="36" fillId="17" borderId="14" xfId="2" applyNumberFormat="1" applyFont="1" applyFill="1" applyBorder="1"/>
    <xf numFmtId="4" fontId="28" fillId="17" borderId="14" xfId="2" applyNumberFormat="1" applyFont="1" applyFill="1" applyBorder="1"/>
    <xf numFmtId="49" fontId="29" fillId="4" borderId="63" xfId="1" applyNumberFormat="1" applyFont="1" applyBorder="1" applyAlignment="1">
      <alignment horizontal="center"/>
    </xf>
    <xf numFmtId="4" fontId="58" fillId="0" borderId="0" xfId="2" applyNumberFormat="1" applyFont="1" applyFill="1" applyAlignment="1">
      <alignment horizontal="right" vertical="center"/>
    </xf>
    <xf numFmtId="49" fontId="4" fillId="17" borderId="31" xfId="2" applyNumberFormat="1" applyFont="1" applyFill="1" applyBorder="1" applyAlignment="1">
      <alignment horizontal="left"/>
    </xf>
    <xf numFmtId="14" fontId="4" fillId="0" borderId="31" xfId="2" applyNumberFormat="1" applyFill="1" applyBorder="1" applyAlignment="1">
      <alignment horizontal="left"/>
    </xf>
    <xf numFmtId="0" fontId="12" fillId="0" borderId="68" xfId="2" applyFont="1" applyBorder="1" applyAlignment="1">
      <alignment horizontal="center"/>
    </xf>
    <xf numFmtId="164" fontId="28" fillId="0" borderId="72" xfId="2" applyNumberFormat="1" applyFont="1" applyBorder="1" applyAlignment="1">
      <alignment horizontal="right" vertical="center"/>
    </xf>
    <xf numFmtId="0" fontId="27" fillId="5" borderId="74" xfId="0" applyFont="1" applyFill="1" applyBorder="1" applyAlignment="1">
      <alignment horizontal="center" vertical="center"/>
    </xf>
    <xf numFmtId="4" fontId="28" fillId="17" borderId="26" xfId="2" applyNumberFormat="1" applyFont="1" applyFill="1" applyBorder="1" applyAlignment="1">
      <alignment horizontal="right" vertical="center"/>
    </xf>
    <xf numFmtId="4" fontId="27" fillId="5" borderId="18" xfId="0" applyNumberFormat="1" applyFont="1" applyFill="1" applyBorder="1" applyAlignment="1">
      <alignment horizontal="right" vertical="center"/>
    </xf>
    <xf numFmtId="3" fontId="27" fillId="17" borderId="26" xfId="2" applyNumberFormat="1" applyFont="1" applyFill="1" applyBorder="1" applyAlignment="1">
      <alignment horizontal="right"/>
    </xf>
    <xf numFmtId="3" fontId="36" fillId="17" borderId="26" xfId="2" applyNumberFormat="1" applyFont="1" applyFill="1" applyBorder="1"/>
    <xf numFmtId="4" fontId="28" fillId="17" borderId="26" xfId="2" applyNumberFormat="1" applyFont="1" applyFill="1" applyBorder="1"/>
    <xf numFmtId="4" fontId="27" fillId="4" borderId="26" xfId="1" applyNumberFormat="1" applyFont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164" fontId="27" fillId="17" borderId="26" xfId="2" applyNumberFormat="1" applyFont="1" applyFill="1" applyBorder="1" applyAlignment="1">
      <alignment horizontal="center" vertical="center"/>
    </xf>
    <xf numFmtId="4" fontId="27" fillId="5" borderId="67" xfId="0" applyNumberFormat="1" applyFont="1" applyFill="1" applyBorder="1" applyAlignment="1">
      <alignment horizontal="right" vertical="center"/>
    </xf>
    <xf numFmtId="0" fontId="12" fillId="5" borderId="76" xfId="2" applyFont="1" applyFill="1" applyBorder="1"/>
    <xf numFmtId="4" fontId="37" fillId="5" borderId="10" xfId="0" applyNumberFormat="1" applyFont="1" applyFill="1" applyBorder="1" applyAlignment="1">
      <alignment horizontal="right" vertical="center"/>
    </xf>
    <xf numFmtId="4" fontId="49" fillId="0" borderId="0" xfId="2" applyNumberFormat="1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3" fontId="28" fillId="17" borderId="14" xfId="2" applyNumberFormat="1" applyFont="1" applyFill="1" applyBorder="1" applyAlignment="1">
      <alignment horizontal="right"/>
    </xf>
    <xf numFmtId="164" fontId="28" fillId="17" borderId="18" xfId="2" applyNumberFormat="1" applyFont="1" applyFill="1" applyBorder="1" applyAlignment="1">
      <alignment horizontal="center" vertical="center"/>
    </xf>
    <xf numFmtId="4" fontId="58" fillId="0" borderId="0" xfId="2" applyNumberFormat="1" applyFont="1" applyAlignment="1">
      <alignment horizontal="right" vertical="center"/>
    </xf>
    <xf numFmtId="0" fontId="58" fillId="17" borderId="0" xfId="2" applyFont="1" applyFill="1" applyAlignment="1">
      <alignment horizontal="right"/>
    </xf>
    <xf numFmtId="2" fontId="0" fillId="0" borderId="14" xfId="0" applyNumberFormat="1" applyBorder="1" applyAlignment="1">
      <alignment vertical="center"/>
    </xf>
    <xf numFmtId="0" fontId="4" fillId="0" borderId="0" xfId="2" applyAlignment="1"/>
    <xf numFmtId="0" fontId="25" fillId="0" borderId="0" xfId="0" applyFont="1" applyBorder="1" applyAlignment="1"/>
    <xf numFmtId="4" fontId="0" fillId="0" borderId="0" xfId="0" applyNumberFormat="1" applyAlignment="1"/>
    <xf numFmtId="4" fontId="33" fillId="0" borderId="0" xfId="0" applyNumberFormat="1" applyFont="1" applyAlignment="1">
      <alignment horizontal="center"/>
    </xf>
    <xf numFmtId="4" fontId="59" fillId="0" borderId="0" xfId="2" applyNumberFormat="1" applyFont="1" applyBorder="1"/>
    <xf numFmtId="4" fontId="13" fillId="0" borderId="0" xfId="0" applyNumberFormat="1" applyFont="1"/>
    <xf numFmtId="4" fontId="0" fillId="0" borderId="0" xfId="0" applyNumberFormat="1" applyAlignment="1">
      <alignment horizontal="right"/>
    </xf>
    <xf numFmtId="4" fontId="38" fillId="0" borderId="0" xfId="0" applyNumberFormat="1" applyFont="1" applyAlignment="1">
      <alignment horizontal="left"/>
    </xf>
    <xf numFmtId="166" fontId="57" fillId="0" borderId="0" xfId="2" applyNumberFormat="1" applyFont="1" applyAlignment="1">
      <alignment horizontal="left" vertical="center"/>
    </xf>
    <xf numFmtId="4" fontId="0" fillId="0" borderId="0" xfId="0" applyNumberFormat="1" applyFont="1"/>
    <xf numFmtId="4" fontId="57" fillId="18" borderId="29" xfId="0" applyNumberFormat="1" applyFont="1" applyFill="1" applyBorder="1" applyAlignment="1">
      <alignment horizontal="right" vertical="center"/>
    </xf>
    <xf numFmtId="4" fontId="57" fillId="18" borderId="29" xfId="2" applyNumberFormat="1" applyFont="1" applyFill="1" applyBorder="1" applyAlignment="1">
      <alignment horizontal="right" vertical="center"/>
    </xf>
    <xf numFmtId="0" fontId="60" fillId="0" borderId="0" xfId="2" applyFont="1"/>
    <xf numFmtId="0" fontId="29" fillId="5" borderId="0" xfId="2" applyFont="1" applyFill="1" applyBorder="1" applyAlignment="1">
      <alignment horizontal="right"/>
    </xf>
    <xf numFmtId="4" fontId="0" fillId="5" borderId="0" xfId="0" applyNumberFormat="1" applyFill="1" applyAlignment="1">
      <alignment horizontal="right"/>
    </xf>
    <xf numFmtId="4" fontId="29" fillId="5" borderId="0" xfId="2" applyNumberFormat="1" applyFont="1" applyFill="1"/>
    <xf numFmtId="4" fontId="29" fillId="5" borderId="29" xfId="2" applyNumberFormat="1" applyFont="1" applyFill="1" applyBorder="1" applyAlignment="1">
      <alignment horizontal="right" vertical="center"/>
    </xf>
    <xf numFmtId="4" fontId="54" fillId="5" borderId="29" xfId="2" applyNumberFormat="1" applyFont="1" applyFill="1" applyBorder="1" applyAlignment="1">
      <alignment horizontal="right" vertical="center"/>
    </xf>
    <xf numFmtId="4" fontId="18" fillId="0" borderId="0" xfId="0" applyNumberFormat="1" applyFont="1" applyFill="1" applyBorder="1"/>
    <xf numFmtId="4" fontId="34" fillId="5" borderId="30" xfId="0" applyNumberFormat="1" applyFont="1" applyFill="1" applyBorder="1" applyAlignment="1">
      <alignment horizontal="center" vertical="center"/>
    </xf>
    <xf numFmtId="4" fontId="34" fillId="5" borderId="31" xfId="0" applyNumberFormat="1" applyFont="1" applyFill="1" applyBorder="1" applyAlignment="1">
      <alignment horizontal="center" vertical="center"/>
    </xf>
    <xf numFmtId="4" fontId="37" fillId="5" borderId="35" xfId="0" applyNumberFormat="1" applyFont="1" applyFill="1" applyBorder="1" applyAlignment="1">
      <alignment vertical="center"/>
    </xf>
    <xf numFmtId="4" fontId="37" fillId="5" borderId="22" xfId="0" applyNumberFormat="1" applyFont="1" applyFill="1" applyBorder="1" applyAlignment="1">
      <alignment horizontal="center" vertical="center"/>
    </xf>
    <xf numFmtId="4" fontId="37" fillId="5" borderId="11" xfId="0" applyNumberFormat="1" applyFont="1" applyFill="1" applyBorder="1" applyAlignment="1">
      <alignment vertical="center"/>
    </xf>
    <xf numFmtId="1" fontId="37" fillId="5" borderId="13" xfId="0" applyNumberFormat="1" applyFont="1" applyFill="1" applyBorder="1" applyAlignment="1">
      <alignment horizontal="center" vertical="center"/>
    </xf>
    <xf numFmtId="4" fontId="54" fillId="5" borderId="0" xfId="2" applyNumberFormat="1" applyFont="1" applyFill="1" applyBorder="1" applyAlignment="1">
      <alignment horizontal="left" vertical="center"/>
    </xf>
    <xf numFmtId="4" fontId="37" fillId="5" borderId="33" xfId="0" applyNumberFormat="1" applyFont="1" applyFill="1" applyBorder="1" applyAlignment="1">
      <alignment vertical="center"/>
    </xf>
    <xf numFmtId="4" fontId="37" fillId="5" borderId="26" xfId="0" applyNumberFormat="1" applyFont="1" applyFill="1" applyBorder="1" applyAlignment="1">
      <alignment horizontal="center" vertical="center"/>
    </xf>
    <xf numFmtId="0" fontId="29" fillId="5" borderId="0" xfId="2" applyFont="1" applyFill="1"/>
    <xf numFmtId="166" fontId="41" fillId="0" borderId="0" xfId="2" applyNumberFormat="1" applyFont="1" applyFill="1" applyAlignment="1">
      <alignment horizontal="right" vertical="center"/>
    </xf>
    <xf numFmtId="4" fontId="55" fillId="5" borderId="0" xfId="0" applyNumberFormat="1" applyFont="1" applyFill="1"/>
    <xf numFmtId="0" fontId="29" fillId="0" borderId="0" xfId="2" applyFont="1" applyBorder="1" applyAlignment="1">
      <alignment horizontal="left"/>
    </xf>
    <xf numFmtId="4" fontId="38" fillId="17" borderId="0" xfId="0" applyNumberFormat="1" applyFont="1" applyFill="1"/>
    <xf numFmtId="4" fontId="61" fillId="5" borderId="0" xfId="0" applyNumberFormat="1" applyFont="1" applyFill="1"/>
    <xf numFmtId="4" fontId="0" fillId="5" borderId="0" xfId="0" applyNumberFormat="1" applyFont="1" applyFill="1" applyAlignment="1">
      <alignment horizontal="center"/>
    </xf>
    <xf numFmtId="4" fontId="21" fillId="0" borderId="0" xfId="2" applyNumberFormat="1" applyFont="1" applyFill="1" applyBorder="1" applyAlignment="1">
      <alignment horizontal="right" vertical="center"/>
    </xf>
    <xf numFmtId="4" fontId="0" fillId="5" borderId="0" xfId="0" applyNumberFormat="1" applyFont="1" applyFill="1"/>
    <xf numFmtId="4" fontId="0" fillId="0" borderId="0" xfId="0" applyNumberFormat="1" applyFont="1" applyFill="1" applyBorder="1"/>
    <xf numFmtId="4" fontId="38" fillId="0" borderId="0" xfId="0" applyNumberFormat="1" applyFont="1" applyAlignment="1">
      <alignment vertical="center"/>
    </xf>
    <xf numFmtId="4" fontId="55" fillId="0" borderId="0" xfId="0" applyNumberFormat="1" applyFont="1" applyAlignment="1">
      <alignment vertical="center"/>
    </xf>
    <xf numFmtId="0" fontId="9" fillId="0" borderId="14" xfId="2" applyFont="1" applyFill="1" applyBorder="1" applyAlignment="1">
      <alignment horizontal="center"/>
    </xf>
    <xf numFmtId="0" fontId="30" fillId="0" borderId="60" xfId="1" applyNumberFormat="1" applyFont="1" applyFill="1" applyBorder="1" applyAlignment="1">
      <alignment horizontal="center"/>
    </xf>
    <xf numFmtId="4" fontId="0" fillId="5" borderId="0" xfId="0" applyNumberFormat="1" applyFill="1" applyAlignment="1">
      <alignment horizontal="center"/>
    </xf>
    <xf numFmtId="2" fontId="53" fillId="0" borderId="0" xfId="0" applyNumberFormat="1" applyFont="1"/>
    <xf numFmtId="4" fontId="33" fillId="0" borderId="0" xfId="0" applyNumberFormat="1" applyFont="1"/>
    <xf numFmtId="4" fontId="0" fillId="19" borderId="0" xfId="0" applyNumberFormat="1" applyFill="1"/>
    <xf numFmtId="4" fontId="0" fillId="19" borderId="0" xfId="0" applyNumberFormat="1" applyFill="1" applyAlignment="1">
      <alignment horizontal="center"/>
    </xf>
    <xf numFmtId="0" fontId="11" fillId="19" borderId="0" xfId="2" applyFont="1" applyFill="1" applyAlignment="1">
      <alignment horizontal="right"/>
    </xf>
    <xf numFmtId="4" fontId="11" fillId="19" borderId="0" xfId="2" applyNumberFormat="1" applyFont="1" applyFill="1" applyAlignment="1">
      <alignment horizontal="right" vertical="center"/>
    </xf>
    <xf numFmtId="0" fontId="4" fillId="19" borderId="0" xfId="2" applyFill="1" applyAlignment="1">
      <alignment vertical="center"/>
    </xf>
    <xf numFmtId="0" fontId="4" fillId="19" borderId="0" xfId="2" applyFill="1"/>
    <xf numFmtId="0" fontId="25" fillId="19" borderId="0" xfId="0" applyFont="1" applyFill="1" applyBorder="1" applyAlignment="1">
      <alignment horizontal="center"/>
    </xf>
    <xf numFmtId="3" fontId="25" fillId="19" borderId="0" xfId="0" applyNumberFormat="1" applyFont="1" applyFill="1" applyBorder="1" applyAlignment="1">
      <alignment horizontal="left"/>
    </xf>
    <xf numFmtId="0" fontId="4" fillId="19" borderId="0" xfId="2" applyFill="1" applyBorder="1"/>
    <xf numFmtId="4" fontId="0" fillId="19" borderId="0" xfId="0" applyNumberFormat="1" applyFill="1" applyAlignment="1">
      <alignment vertical="center"/>
    </xf>
    <xf numFmtId="0" fontId="25" fillId="19" borderId="0" xfId="0" applyFont="1" applyFill="1" applyBorder="1" applyAlignment="1">
      <alignment horizontal="left"/>
    </xf>
    <xf numFmtId="4" fontId="0" fillId="19" borderId="0" xfId="0" applyNumberFormat="1" applyFill="1" applyAlignment="1"/>
    <xf numFmtId="0" fontId="4" fillId="19" borderId="14" xfId="2" applyFill="1" applyBorder="1" applyProtection="1"/>
    <xf numFmtId="4" fontId="57" fillId="19" borderId="29" xfId="2" applyNumberFormat="1" applyFont="1" applyFill="1" applyBorder="1" applyAlignment="1">
      <alignment horizontal="right" vertical="center"/>
    </xf>
    <xf numFmtId="4" fontId="62" fillId="0" borderId="29" xfId="0" applyNumberFormat="1" applyFont="1" applyBorder="1" applyAlignment="1">
      <alignment horizontal="center"/>
    </xf>
    <xf numFmtId="0" fontId="29" fillId="4" borderId="60" xfId="1" applyNumberFormat="1" applyFont="1" applyBorder="1" applyAlignment="1">
      <alignment horizontal="center"/>
    </xf>
    <xf numFmtId="166" fontId="56" fillId="0" borderId="0" xfId="2" applyNumberFormat="1" applyFont="1" applyBorder="1" applyAlignment="1">
      <alignment horizontal="right" vertical="center"/>
    </xf>
    <xf numFmtId="4" fontId="0" fillId="0" borderId="0" xfId="0" applyNumberFormat="1" applyFont="1" applyAlignment="1">
      <alignment horizontal="right"/>
    </xf>
    <xf numFmtId="166" fontId="30" fillId="0" borderId="0" xfId="2" applyNumberFormat="1" applyFont="1" applyAlignment="1">
      <alignment horizontal="left" vertical="center"/>
    </xf>
    <xf numFmtId="166" fontId="57" fillId="0" borderId="0" xfId="2" applyNumberFormat="1" applyFont="1" applyBorder="1" applyAlignment="1">
      <alignment horizontal="left" vertical="center"/>
    </xf>
    <xf numFmtId="4" fontId="58" fillId="0" borderId="0" xfId="2" applyNumberFormat="1" applyFont="1" applyFill="1" applyBorder="1" applyAlignment="1">
      <alignment horizontal="right" vertical="center"/>
    </xf>
    <xf numFmtId="0" fontId="10" fillId="0" borderId="0" xfId="2" applyFont="1" applyBorder="1" applyAlignment="1">
      <alignment horizontal="right"/>
    </xf>
    <xf numFmtId="4" fontId="29" fillId="0" borderId="16" xfId="2" applyNumberFormat="1" applyFont="1" applyBorder="1"/>
    <xf numFmtId="4" fontId="0" fillId="0" borderId="19" xfId="0" applyNumberFormat="1" applyBorder="1"/>
    <xf numFmtId="4" fontId="28" fillId="0" borderId="0" xfId="0" applyNumberFormat="1" applyFont="1" applyFill="1" applyBorder="1" applyAlignment="1">
      <alignment horizontal="right" vertical="center"/>
    </xf>
    <xf numFmtId="4" fontId="33" fillId="0" borderId="0" xfId="0" applyNumberFormat="1" applyFont="1" applyFill="1"/>
    <xf numFmtId="4" fontId="29" fillId="0" borderId="0" xfId="0" applyNumberFormat="1" applyFont="1" applyAlignment="1">
      <alignment horizontal="center"/>
    </xf>
    <xf numFmtId="0" fontId="11" fillId="5" borderId="20" xfId="2" applyFont="1" applyFill="1" applyBorder="1" applyAlignment="1">
      <alignment horizontal="center"/>
    </xf>
    <xf numFmtId="49" fontId="12" fillId="5" borderId="65" xfId="2" applyNumberFormat="1" applyFont="1" applyFill="1" applyBorder="1" applyAlignment="1">
      <alignment horizontal="left"/>
    </xf>
    <xf numFmtId="49" fontId="12" fillId="5" borderId="65" xfId="2" applyNumberFormat="1" applyFont="1" applyFill="1" applyBorder="1" applyAlignment="1" applyProtection="1">
      <alignment horizontal="left"/>
    </xf>
    <xf numFmtId="4" fontId="11" fillId="0" borderId="28" xfId="2" applyNumberFormat="1" applyFont="1" applyBorder="1" applyAlignment="1">
      <alignment horizontal="right"/>
    </xf>
    <xf numFmtId="0" fontId="36" fillId="0" borderId="54" xfId="2" applyFont="1" applyBorder="1" applyAlignment="1">
      <alignment horizontal="center" vertical="center"/>
    </xf>
    <xf numFmtId="0" fontId="4" fillId="0" borderId="24" xfId="2" applyBorder="1" applyAlignment="1">
      <alignment horizontal="left" vertical="center"/>
    </xf>
    <xf numFmtId="4" fontId="27" fillId="5" borderId="77" xfId="0" applyNumberFormat="1" applyFont="1" applyFill="1" applyBorder="1" applyAlignment="1">
      <alignment horizontal="right" vertical="center"/>
    </xf>
    <xf numFmtId="4" fontId="27" fillId="5" borderId="78" xfId="0" applyNumberFormat="1" applyFont="1" applyFill="1" applyBorder="1" applyAlignment="1">
      <alignment horizontal="right" vertical="center"/>
    </xf>
    <xf numFmtId="4" fontId="37" fillId="5" borderId="78" xfId="0" applyNumberFormat="1" applyFont="1" applyFill="1" applyBorder="1" applyAlignment="1">
      <alignment horizontal="right" vertical="center"/>
    </xf>
    <xf numFmtId="0" fontId="4" fillId="0" borderId="24" xfId="2" applyBorder="1" applyAlignment="1">
      <alignment vertical="center"/>
    </xf>
    <xf numFmtId="4" fontId="37" fillId="5" borderId="79" xfId="0" applyNumberFormat="1" applyFont="1" applyFill="1" applyBorder="1" applyAlignment="1">
      <alignment horizontal="right" vertical="center"/>
    </xf>
    <xf numFmtId="0" fontId="11" fillId="0" borderId="24" xfId="2" applyFont="1" applyBorder="1" applyAlignment="1">
      <alignment horizontal="center"/>
    </xf>
    <xf numFmtId="0" fontId="28" fillId="0" borderId="18" xfId="2" applyFont="1" applyBorder="1"/>
    <xf numFmtId="0" fontId="11" fillId="0" borderId="24" xfId="2" applyFont="1" applyBorder="1" applyAlignment="1">
      <alignment horizontal="right"/>
    </xf>
    <xf numFmtId="0" fontId="4" fillId="0" borderId="18" xfId="2" applyBorder="1"/>
    <xf numFmtId="0" fontId="10" fillId="0" borderId="75" xfId="2" applyFont="1" applyBorder="1" applyAlignment="1">
      <alignment horizontal="right"/>
    </xf>
    <xf numFmtId="0" fontId="4" fillId="0" borderId="24" xfId="2" applyBorder="1"/>
    <xf numFmtId="0" fontId="10" fillId="0" borderId="24" xfId="2" applyFont="1" applyBorder="1"/>
    <xf numFmtId="0" fontId="4" fillId="0" borderId="76" xfId="2" applyFont="1" applyBorder="1"/>
    <xf numFmtId="0" fontId="4" fillId="0" borderId="10" xfId="2" applyBorder="1"/>
    <xf numFmtId="0" fontId="9" fillId="0" borderId="15" xfId="2" applyFont="1" applyBorder="1" applyAlignment="1">
      <alignment vertical="center"/>
    </xf>
    <xf numFmtId="0" fontId="12" fillId="0" borderId="80" xfId="2" applyFont="1" applyBorder="1"/>
    <xf numFmtId="0" fontId="4" fillId="5" borderId="25" xfId="2" applyFont="1" applyFill="1" applyBorder="1" applyAlignment="1">
      <alignment vertical="center"/>
    </xf>
    <xf numFmtId="0" fontId="27" fillId="4" borderId="17" xfId="1" applyFont="1" applyBorder="1" applyAlignment="1">
      <alignment horizontal="center" vertical="center"/>
    </xf>
    <xf numFmtId="0" fontId="27" fillId="4" borderId="81" xfId="1" applyFont="1" applyBorder="1" applyAlignment="1">
      <alignment horizontal="center" vertical="center"/>
    </xf>
    <xf numFmtId="2" fontId="4" fillId="11" borderId="18" xfId="2" applyNumberFormat="1" applyFont="1" applyFill="1" applyBorder="1" applyAlignment="1">
      <alignment horizontal="left"/>
    </xf>
    <xf numFmtId="2" fontId="50" fillId="11" borderId="10" xfId="2" applyNumberFormat="1" applyFont="1" applyFill="1" applyBorder="1" applyAlignment="1">
      <alignment horizontal="center"/>
    </xf>
    <xf numFmtId="0" fontId="4" fillId="0" borderId="82" xfId="2" applyBorder="1" applyAlignment="1">
      <alignment vertical="center"/>
    </xf>
    <xf numFmtId="0" fontId="51" fillId="5" borderId="83" xfId="2" applyFont="1" applyFill="1" applyBorder="1" applyAlignment="1">
      <alignment horizontal="center"/>
    </xf>
    <xf numFmtId="0" fontId="29" fillId="4" borderId="84" xfId="1" applyFont="1" applyBorder="1" applyAlignment="1">
      <alignment horizontal="center"/>
    </xf>
    <xf numFmtId="0" fontId="28" fillId="0" borderId="85" xfId="1" applyFont="1" applyFill="1" applyBorder="1" applyAlignment="1">
      <alignment horizontal="center"/>
    </xf>
    <xf numFmtId="0" fontId="27" fillId="17" borderId="17" xfId="1" applyFont="1" applyFill="1" applyBorder="1" applyAlignment="1">
      <alignment horizontal="center" vertical="center"/>
    </xf>
    <xf numFmtId="2" fontId="4" fillId="0" borderId="18" xfId="2" applyNumberFormat="1" applyFont="1" applyBorder="1" applyAlignment="1">
      <alignment horizontal="left"/>
    </xf>
    <xf numFmtId="2" fontId="4" fillId="0" borderId="10" xfId="2" applyNumberFormat="1" applyFont="1" applyBorder="1" applyAlignment="1">
      <alignment horizontal="center"/>
    </xf>
    <xf numFmtId="0" fontId="63" fillId="17" borderId="33" xfId="2" applyFont="1" applyFill="1" applyBorder="1" applyAlignment="1">
      <alignment horizontal="right"/>
    </xf>
    <xf numFmtId="0" fontId="4" fillId="0" borderId="87" xfId="2" applyBorder="1"/>
    <xf numFmtId="0" fontId="9" fillId="5" borderId="86" xfId="2" applyFont="1" applyFill="1" applyBorder="1"/>
    <xf numFmtId="3" fontId="0" fillId="0" borderId="0" xfId="0" applyNumberFormat="1" applyAlignment="1">
      <alignment horizontal="left" vertical="center"/>
    </xf>
    <xf numFmtId="4" fontId="62" fillId="0" borderId="0" xfId="0" applyNumberFormat="1" applyFont="1" applyBorder="1" applyAlignment="1">
      <alignment horizontal="center"/>
    </xf>
    <xf numFmtId="0" fontId="64" fillId="5" borderId="20" xfId="2" applyFont="1" applyFill="1" applyBorder="1" applyAlignment="1">
      <alignment horizontal="center"/>
    </xf>
    <xf numFmtId="49" fontId="11" fillId="0" borderId="24" xfId="2" applyNumberFormat="1" applyFont="1" applyBorder="1" applyAlignment="1">
      <alignment horizontal="right" vertical="center" wrapText="1"/>
    </xf>
    <xf numFmtId="49" fontId="11" fillId="0" borderId="0" xfId="2" applyNumberFormat="1" applyFont="1" applyBorder="1" applyAlignment="1">
      <alignment horizontal="right" vertical="center" wrapText="1"/>
    </xf>
    <xf numFmtId="49" fontId="11" fillId="5" borderId="24" xfId="2" applyNumberFormat="1" applyFont="1" applyFill="1" applyBorder="1" applyAlignment="1">
      <alignment horizontal="right" vertical="center" wrapText="1"/>
    </xf>
    <xf numFmtId="49" fontId="11" fillId="5" borderId="0" xfId="2" applyNumberFormat="1" applyFont="1" applyFill="1" applyBorder="1" applyAlignment="1">
      <alignment horizontal="right" vertical="center" wrapText="1"/>
    </xf>
    <xf numFmtId="0" fontId="9" fillId="0" borderId="69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70" xfId="2" applyFont="1" applyBorder="1" applyAlignment="1">
      <alignment horizontal="center" vertical="center"/>
    </xf>
    <xf numFmtId="49" fontId="4" fillId="0" borderId="71" xfId="2" applyNumberFormat="1" applyBorder="1" applyAlignment="1">
      <alignment horizontal="left" vertical="center" wrapText="1"/>
    </xf>
    <xf numFmtId="49" fontId="4" fillId="0" borderId="3" xfId="2" applyNumberFormat="1" applyBorder="1" applyAlignment="1">
      <alignment horizontal="left" vertical="center" wrapText="1"/>
    </xf>
    <xf numFmtId="49" fontId="11" fillId="5" borderId="73" xfId="2" applyNumberFormat="1" applyFont="1" applyFill="1" applyBorder="1" applyAlignment="1">
      <alignment horizontal="left" vertical="center" wrapText="1"/>
    </xf>
    <xf numFmtId="49" fontId="11" fillId="5" borderId="6" xfId="2" applyNumberFormat="1" applyFont="1" applyFill="1" applyBorder="1" applyAlignment="1">
      <alignment horizontal="left" vertical="center" wrapText="1"/>
    </xf>
    <xf numFmtId="49" fontId="11" fillId="5" borderId="75" xfId="2" applyNumberFormat="1" applyFont="1" applyFill="1" applyBorder="1" applyAlignment="1">
      <alignment horizontal="left" vertical="center" wrapText="1"/>
    </xf>
    <xf numFmtId="49" fontId="11" fillId="5" borderId="37" xfId="2" applyNumberFormat="1" applyFont="1" applyFill="1" applyBorder="1" applyAlignment="1">
      <alignment horizontal="left" vertical="center" wrapText="1"/>
    </xf>
    <xf numFmtId="49" fontId="11" fillId="5" borderId="24" xfId="2" applyNumberFormat="1" applyFont="1" applyFill="1" applyBorder="1" applyAlignment="1">
      <alignment horizontal="left" vertical="center" wrapText="1"/>
    </xf>
    <xf numFmtId="49" fontId="11" fillId="5" borderId="0" xfId="2" applyNumberFormat="1" applyFont="1" applyFill="1" applyBorder="1" applyAlignment="1">
      <alignment horizontal="left" vertical="center" wrapText="1"/>
    </xf>
    <xf numFmtId="49" fontId="10" fillId="0" borderId="24" xfId="2" applyNumberFormat="1" applyFont="1" applyBorder="1" applyAlignment="1">
      <alignment horizontal="right" vertical="center" wrapText="1"/>
    </xf>
    <xf numFmtId="49" fontId="10" fillId="0" borderId="0" xfId="2" applyNumberFormat="1" applyFont="1" applyBorder="1" applyAlignment="1">
      <alignment horizontal="right" vertical="center" wrapText="1"/>
    </xf>
    <xf numFmtId="0" fontId="58" fillId="17" borderId="0" xfId="2" applyFont="1" applyFill="1" applyBorder="1" applyAlignment="1">
      <alignment horizontal="center"/>
    </xf>
    <xf numFmtId="0" fontId="58" fillId="17" borderId="7" xfId="2" applyFont="1" applyFill="1" applyBorder="1" applyAlignment="1">
      <alignment horizontal="center"/>
    </xf>
    <xf numFmtId="0" fontId="34" fillId="5" borderId="33" xfId="0" applyFont="1" applyFill="1" applyBorder="1" applyAlignment="1">
      <alignment horizontal="right" vertical="center"/>
    </xf>
    <xf numFmtId="0" fontId="34" fillId="5" borderId="33" xfId="0" applyFont="1" applyFill="1" applyBorder="1" applyAlignment="1">
      <alignment horizontal="center" vertical="center"/>
    </xf>
    <xf numFmtId="0" fontId="34" fillId="5" borderId="25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 textRotation="90"/>
    </xf>
    <xf numFmtId="0" fontId="0" fillId="12" borderId="4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43" fillId="13" borderId="4" xfId="0" applyFont="1" applyFill="1" applyBorder="1" applyAlignment="1">
      <alignment horizontal="center" vertical="center"/>
    </xf>
    <xf numFmtId="0" fontId="43" fillId="13" borderId="0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0" fillId="0" borderId="28" xfId="0" applyBorder="1"/>
    <xf numFmtId="0" fontId="5" fillId="0" borderId="14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30" xfId="0" applyFont="1" applyFill="1" applyBorder="1" applyAlignment="1">
      <alignment horizontal="center" vertical="center" textRotation="90"/>
    </xf>
    <xf numFmtId="0" fontId="2" fillId="0" borderId="31" xfId="0" applyFont="1" applyFill="1" applyBorder="1" applyAlignment="1">
      <alignment horizontal="center" vertical="center" textRotation="90"/>
    </xf>
    <xf numFmtId="0" fontId="2" fillId="0" borderId="20" xfId="0" applyFont="1" applyFill="1" applyBorder="1" applyAlignment="1">
      <alignment horizontal="center" vertical="center" textRotation="90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center" textRotation="90" wrapText="1"/>
    </xf>
    <xf numFmtId="0" fontId="5" fillId="0" borderId="20" xfId="0" applyFont="1" applyFill="1" applyBorder="1" applyAlignment="1">
      <alignment horizontal="center" textRotation="90" wrapText="1"/>
    </xf>
    <xf numFmtId="0" fontId="0" fillId="0" borderId="9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0" fillId="0" borderId="20" xfId="0" applyBorder="1"/>
    <xf numFmtId="3" fontId="24" fillId="0" borderId="18" xfId="0" applyNumberFormat="1" applyFont="1" applyFill="1" applyBorder="1" applyAlignment="1">
      <alignment horizontal="center" vertical="center" wrapText="1"/>
    </xf>
    <xf numFmtId="3" fontId="30" fillId="8" borderId="35" xfId="0" applyNumberFormat="1" applyFont="1" applyFill="1" applyBorder="1" applyAlignment="1">
      <alignment horizontal="center" vertical="center"/>
    </xf>
    <xf numFmtId="3" fontId="30" fillId="8" borderId="21" xfId="0" applyNumberFormat="1" applyFont="1" applyFill="1" applyBorder="1" applyAlignment="1">
      <alignment horizontal="center" vertical="center"/>
    </xf>
    <xf numFmtId="4" fontId="30" fillId="8" borderId="21" xfId="0" applyNumberFormat="1" applyFont="1" applyFill="1" applyBorder="1" applyAlignment="1">
      <alignment horizontal="center" vertical="center"/>
    </xf>
    <xf numFmtId="3" fontId="30" fillId="8" borderId="22" xfId="0" applyNumberFormat="1" applyFont="1" applyFill="1" applyBorder="1" applyAlignment="1">
      <alignment horizontal="center" vertical="center"/>
    </xf>
    <xf numFmtId="3" fontId="37" fillId="8" borderId="33" xfId="0" applyNumberFormat="1" applyFont="1" applyFill="1" applyBorder="1" applyAlignment="1">
      <alignment horizontal="center" vertical="center" wrapText="1"/>
    </xf>
    <xf numFmtId="3" fontId="37" fillId="8" borderId="14" xfId="0" applyNumberFormat="1" applyFont="1" applyFill="1" applyBorder="1" applyAlignment="1">
      <alignment horizontal="center" vertical="center" wrapText="1"/>
    </xf>
    <xf numFmtId="4" fontId="36" fillId="8" borderId="14" xfId="0" applyNumberFormat="1" applyFont="1" applyFill="1" applyBorder="1" applyAlignment="1">
      <alignment horizontal="center" vertical="center" wrapText="1"/>
    </xf>
    <xf numFmtId="3" fontId="36" fillId="8" borderId="26" xfId="0" applyNumberFormat="1" applyFont="1" applyFill="1" applyBorder="1" applyAlignment="1">
      <alignment horizontal="center" vertical="center" wrapText="1"/>
    </xf>
    <xf numFmtId="0" fontId="45" fillId="14" borderId="47" xfId="0" applyFont="1" applyFill="1" applyBorder="1" applyAlignment="1">
      <alignment horizontal="center" wrapText="1"/>
    </xf>
    <xf numFmtId="0" fontId="45" fillId="14" borderId="48" xfId="0" applyFont="1" applyFill="1" applyBorder="1" applyAlignment="1">
      <alignment horizontal="center" wrapText="1"/>
    </xf>
    <xf numFmtId="0" fontId="45" fillId="14" borderId="15" xfId="0" applyFont="1" applyFill="1" applyBorder="1" applyAlignment="1">
      <alignment horizontal="center" wrapText="1"/>
    </xf>
    <xf numFmtId="0" fontId="45" fillId="14" borderId="16" xfId="0" applyFont="1" applyFill="1" applyBorder="1" applyAlignment="1">
      <alignment horizontal="center" wrapText="1"/>
    </xf>
    <xf numFmtId="0" fontId="45" fillId="14" borderId="49" xfId="0" applyFont="1" applyFill="1" applyBorder="1" applyAlignment="1">
      <alignment horizontal="center" wrapText="1"/>
    </xf>
    <xf numFmtId="0" fontId="45" fillId="14" borderId="52" xfId="0" applyFont="1" applyFill="1" applyBorder="1" applyAlignment="1">
      <alignment horizontal="center" wrapText="1"/>
    </xf>
    <xf numFmtId="0" fontId="45" fillId="14" borderId="50" xfId="0" applyFont="1" applyFill="1" applyBorder="1" applyAlignment="1">
      <alignment horizontal="center" wrapText="1"/>
    </xf>
    <xf numFmtId="0" fontId="45" fillId="14" borderId="51" xfId="0" applyFont="1" applyFill="1" applyBorder="1" applyAlignment="1">
      <alignment horizontal="center" wrapText="1"/>
    </xf>
    <xf numFmtId="0" fontId="45" fillId="0" borderId="19" xfId="0" applyFont="1" applyBorder="1"/>
    <xf numFmtId="0" fontId="45" fillId="0" borderId="10" xfId="0" applyFont="1" applyBorder="1"/>
    <xf numFmtId="0" fontId="46" fillId="15" borderId="15" xfId="0" applyFont="1" applyFill="1" applyBorder="1" applyAlignment="1">
      <alignment horizontal="center"/>
    </xf>
    <xf numFmtId="0" fontId="46" fillId="15" borderId="52" xfId="0" applyFont="1" applyFill="1" applyBorder="1" applyAlignment="1">
      <alignment horizontal="center"/>
    </xf>
    <xf numFmtId="0" fontId="46" fillId="15" borderId="17" xfId="0" applyFont="1" applyFill="1" applyBorder="1" applyAlignment="1">
      <alignment horizontal="center"/>
    </xf>
    <xf numFmtId="0" fontId="46" fillId="15" borderId="53" xfId="0" applyFont="1" applyFill="1" applyBorder="1" applyAlignment="1">
      <alignment horizontal="center"/>
    </xf>
    <xf numFmtId="0" fontId="46" fillId="15" borderId="47" xfId="0" applyFont="1" applyFill="1" applyBorder="1" applyAlignment="1">
      <alignment horizontal="center"/>
    </xf>
    <xf numFmtId="0" fontId="46" fillId="15" borderId="48" xfId="0" applyFont="1" applyFill="1" applyBorder="1" applyAlignment="1">
      <alignment horizontal="center"/>
    </xf>
    <xf numFmtId="0" fontId="46" fillId="15" borderId="55" xfId="0" applyFont="1" applyFill="1" applyBorder="1" applyAlignment="1">
      <alignment horizontal="center"/>
    </xf>
    <xf numFmtId="0" fontId="46" fillId="15" borderId="56" xfId="0" applyFont="1" applyFill="1" applyBorder="1" applyAlignment="1">
      <alignment horizontal="center"/>
    </xf>
    <xf numFmtId="0" fontId="46" fillId="15" borderId="57" xfId="0" applyFont="1" applyFill="1" applyBorder="1" applyAlignment="1">
      <alignment horizontal="center"/>
    </xf>
    <xf numFmtId="0" fontId="46" fillId="15" borderId="59" xfId="0" applyFont="1" applyFill="1" applyBorder="1" applyAlignment="1">
      <alignment horizontal="center"/>
    </xf>
    <xf numFmtId="0" fontId="46" fillId="15" borderId="58" xfId="0" applyFont="1" applyFill="1" applyBorder="1" applyAlignment="1">
      <alignment horizontal="center"/>
    </xf>
    <xf numFmtId="0" fontId="45" fillId="14" borderId="58" xfId="0" applyFont="1" applyFill="1" applyBorder="1" applyAlignment="1">
      <alignment horizontal="center" wrapText="1"/>
    </xf>
  </cellXfs>
  <cellStyles count="6">
    <cellStyle name="Entrada" xfId="1" builtinId="20"/>
    <cellStyle name="Normal" xfId="0" builtinId="0"/>
    <cellStyle name="Normal 2" xfId="2"/>
    <cellStyle name="Percentagem" xfId="3" builtinId="5"/>
    <cellStyle name="Saída" xfId="4" builtinId="21"/>
    <cellStyle name="Vírgula" xfId="5" builtinId="3"/>
  </cellStyles>
  <dxfs count="7"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0000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46446</xdr:colOff>
      <xdr:row>0</xdr:row>
      <xdr:rowOff>9525</xdr:rowOff>
    </xdr:from>
    <xdr:to>
      <xdr:col>0</xdr:col>
      <xdr:colOff>779973</xdr:colOff>
      <xdr:row>1</xdr:row>
      <xdr:rowOff>152399</xdr:rowOff>
    </xdr:to>
    <xdr:pic>
      <xdr:nvPicPr>
        <xdr:cNvPr id="15384" name="Imagem 1" descr="LOGO-CMP.jpg">
          <a:extLst>
            <a:ext uri="{FF2B5EF4-FFF2-40B4-BE49-F238E27FC236}">
              <a16:creationId xmlns:a16="http://schemas.microsoft.com/office/drawing/2014/main" id="{00000000-0008-0000-0000-000018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6446" y="9525"/>
          <a:ext cx="733527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781152</xdr:colOff>
      <xdr:row>1</xdr:row>
      <xdr:rowOff>152399</xdr:rowOff>
    </xdr:to>
    <xdr:pic>
      <xdr:nvPicPr>
        <xdr:cNvPr id="3" name="Imagem 1" descr="LOGO-CMP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7625" y="9525"/>
          <a:ext cx="733527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2" name="Imagem 1" descr="LOGO-CMP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3527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3" name="Imagem 1" descr="LOGO-CMP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5908" cy="7500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2" name="Imagem 1" descr="LOGO-CMP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3527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4" name="Imagem 1" descr="LOGO-CMP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5908" cy="7500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3" name="Imagem 1" descr="LOGO-CMP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5908" cy="7500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81064</xdr:colOff>
      <xdr:row>1</xdr:row>
      <xdr:rowOff>142874</xdr:rowOff>
    </xdr:to>
    <xdr:pic>
      <xdr:nvPicPr>
        <xdr:cNvPr id="2" name="Imagem 1" descr="LOGO-CMP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733527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342900</xdr:colOff>
          <xdr:row>0</xdr:row>
          <xdr:rowOff>99060</xdr:rowOff>
        </xdr:from>
        <xdr:to>
          <xdr:col>9</xdr:col>
          <xdr:colOff>822960</xdr:colOff>
          <xdr:row>8</xdr:row>
          <xdr:rowOff>373380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B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60960</xdr:colOff>
          <xdr:row>1</xdr:row>
          <xdr:rowOff>99060</xdr:rowOff>
        </xdr:from>
        <xdr:to>
          <xdr:col>8</xdr:col>
          <xdr:colOff>60960</xdr:colOff>
          <xdr:row>4</xdr:row>
          <xdr:rowOff>190500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C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506730</xdr:colOff>
      <xdr:row>21</xdr:row>
      <xdr:rowOff>188595</xdr:rowOff>
    </xdr:from>
    <xdr:to>
      <xdr:col>12</xdr:col>
      <xdr:colOff>38134</xdr:colOff>
      <xdr:row>22</xdr:row>
      <xdr:rowOff>2</xdr:rowOff>
    </xdr:to>
    <xdr:cxnSp macro="">
      <xdr:nvCxnSpPr>
        <xdr:cNvPr id="2" name="Conexão recta unidireccional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 flipV="1">
          <a:off x="1821180" y="4166235"/>
          <a:ext cx="4572000" cy="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192406</xdr:rowOff>
    </xdr:from>
    <xdr:to>
      <xdr:col>4</xdr:col>
      <xdr:colOff>2994</xdr:colOff>
      <xdr:row>22</xdr:row>
      <xdr:rowOff>119743</xdr:rowOff>
    </xdr:to>
    <xdr:cxnSp macro="">
      <xdr:nvCxnSpPr>
        <xdr:cNvPr id="3" name="Conexão recta unidireccional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 flipV="1">
          <a:off x="2209800" y="943520"/>
          <a:ext cx="2994" cy="345430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756558</xdr:colOff>
      <xdr:row>12</xdr:row>
      <xdr:rowOff>0</xdr:rowOff>
    </xdr:from>
    <xdr:to>
      <xdr:col>5</xdr:col>
      <xdr:colOff>801832</xdr:colOff>
      <xdr:row>22</xdr:row>
      <xdr:rowOff>34294</xdr:rowOff>
    </xdr:to>
    <xdr:cxnSp macro="">
      <xdr:nvCxnSpPr>
        <xdr:cNvPr id="4" name="Conexão recta unidireccional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 flipV="1">
          <a:off x="3939269" y="2318657"/>
          <a:ext cx="1360" cy="19784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10886</xdr:rowOff>
    </xdr:from>
    <xdr:to>
      <xdr:col>11</xdr:col>
      <xdr:colOff>10886</xdr:colOff>
      <xdr:row>22</xdr:row>
      <xdr:rowOff>72370</xdr:rowOff>
    </xdr:to>
    <xdr:cxnSp macro="">
      <xdr:nvCxnSpPr>
        <xdr:cNvPr id="5" name="Conexão recta unidireccional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 flipV="1">
          <a:off x="7271657" y="2329543"/>
          <a:ext cx="10886" cy="20056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</xdr:colOff>
      <xdr:row>3</xdr:row>
      <xdr:rowOff>64770</xdr:rowOff>
    </xdr:from>
    <xdr:to>
      <xdr:col>6</xdr:col>
      <xdr:colOff>1362</xdr:colOff>
      <xdr:row>10</xdr:row>
      <xdr:rowOff>19087</xdr:rowOff>
    </xdr:to>
    <xdr:cxnSp macro="">
      <xdr:nvCxnSpPr>
        <xdr:cNvPr id="6" name="Conexão recta unidireccional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 flipV="1">
          <a:off x="3941991" y="612321"/>
          <a:ext cx="0" cy="13335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361942</xdr:colOff>
      <xdr:row>3</xdr:row>
      <xdr:rowOff>557439</xdr:rowOff>
    </xdr:from>
    <xdr:to>
      <xdr:col>3</xdr:col>
      <xdr:colOff>657773</xdr:colOff>
      <xdr:row>3</xdr:row>
      <xdr:rowOff>1207092</xdr:rowOff>
    </xdr:to>
    <xdr:sp macro="" textlink="">
      <xdr:nvSpPr>
        <xdr:cNvPr id="2" name="Seta curvada para baix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 rot="18427257">
          <a:off x="1869217" y="1273299"/>
          <a:ext cx="634185" cy="273075"/>
        </a:xfrm>
        <a:prstGeom prst="curvedDownArrow">
          <a:avLst>
            <a:gd name="adj1" fmla="val 25000"/>
            <a:gd name="adj2" fmla="val 71442"/>
            <a:gd name="adj3" fmla="val 31001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PT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</xdr:colOff>
          <xdr:row>1</xdr:row>
          <xdr:rowOff>45720</xdr:rowOff>
        </xdr:from>
        <xdr:to>
          <xdr:col>5</xdr:col>
          <xdr:colOff>754380</xdr:colOff>
          <xdr:row>4</xdr:row>
          <xdr:rowOff>152400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1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3.wmf"/><Relationship Id="rId4" Type="http://schemas.openxmlformats.org/officeDocument/2006/relationships/oleObject" Target="../embeddings/oleObject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4.wmf"/><Relationship Id="rId4" Type="http://schemas.openxmlformats.org/officeDocument/2006/relationships/oleObject" Target="../embeddings/oleObject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showGridLines="0" view="pageBreakPreview" topLeftCell="A19" zoomScaleNormal="100" zoomScaleSheetLayoutView="100" workbookViewId="0">
      <selection activeCell="C12" sqref="C12"/>
    </sheetView>
  </sheetViews>
  <sheetFormatPr defaultColWidth="8.88671875" defaultRowHeight="13.2" x14ac:dyDescent="0.25"/>
  <cols>
    <col min="1" max="1" width="36.88671875" style="142" customWidth="1"/>
    <col min="2" max="2" width="24.6640625" style="142" customWidth="1"/>
    <col min="3" max="3" width="33.5546875" style="142" customWidth="1"/>
    <col min="4" max="4" width="14.33203125" style="142" customWidth="1"/>
    <col min="5" max="5" width="8.88671875" style="142" hidden="1" customWidth="1"/>
    <col min="6" max="6" width="8.88671875" style="179" hidden="1" customWidth="1"/>
    <col min="7" max="7" width="16.5546875" style="142" bestFit="1" customWidth="1"/>
    <col min="8" max="8" width="13.6640625" style="142" hidden="1" customWidth="1"/>
    <col min="9" max="9" width="8.88671875" style="142" hidden="1" customWidth="1"/>
    <col min="10" max="10" width="14.44140625" style="142" hidden="1" customWidth="1"/>
    <col min="11" max="11" width="25.6640625" style="142" hidden="1" customWidth="1"/>
    <col min="12" max="12" width="8.88671875" style="142" customWidth="1"/>
    <col min="13" max="13" width="31.5546875" style="142" hidden="1" customWidth="1"/>
    <col min="14" max="16384" width="8.88671875" style="142"/>
  </cols>
  <sheetData>
    <row r="1" spans="1:13" s="139" customFormat="1" ht="48" customHeight="1" x14ac:dyDescent="0.3">
      <c r="A1" s="138" t="s">
        <v>237</v>
      </c>
      <c r="C1" s="140"/>
      <c r="F1" s="211"/>
    </row>
    <row r="2" spans="1:13" x14ac:dyDescent="0.25">
      <c r="A2" s="141"/>
    </row>
    <row r="3" spans="1:13" x14ac:dyDescent="0.25">
      <c r="A3" s="143" t="s">
        <v>382</v>
      </c>
      <c r="C3" s="144" t="s">
        <v>238</v>
      </c>
    </row>
    <row r="4" spans="1:13" ht="13.8" x14ac:dyDescent="0.3">
      <c r="A4" s="311" t="s">
        <v>431</v>
      </c>
      <c r="C4" s="277">
        <f ca="1">TODAY()</f>
        <v>44945</v>
      </c>
      <c r="H4" s="178" t="s">
        <v>289</v>
      </c>
      <c r="I4" s="34">
        <v>603</v>
      </c>
      <c r="J4" s="34" t="s">
        <v>215</v>
      </c>
      <c r="K4" s="35" t="s">
        <v>116</v>
      </c>
      <c r="M4" s="75" t="s">
        <v>158</v>
      </c>
    </row>
    <row r="5" spans="1:13" ht="13.8" x14ac:dyDescent="0.3">
      <c r="A5" s="180"/>
      <c r="B5" s="270" t="s">
        <v>429</v>
      </c>
      <c r="C5" s="144" t="s">
        <v>239</v>
      </c>
      <c r="H5" s="142" t="s">
        <v>290</v>
      </c>
      <c r="I5" s="34">
        <v>702</v>
      </c>
      <c r="J5" s="34" t="s">
        <v>216</v>
      </c>
      <c r="K5" s="35" t="s">
        <v>124</v>
      </c>
      <c r="M5" s="75" t="s">
        <v>152</v>
      </c>
    </row>
    <row r="6" spans="1:13" ht="15" thickBot="1" x14ac:dyDescent="0.35">
      <c r="A6" s="269"/>
      <c r="B6" s="359" t="s">
        <v>479</v>
      </c>
      <c r="C6" s="276" t="s">
        <v>431</v>
      </c>
      <c r="H6" s="142" t="s">
        <v>291</v>
      </c>
      <c r="I6" s="34">
        <v>505</v>
      </c>
      <c r="J6" s="34" t="s">
        <v>214</v>
      </c>
      <c r="K6" s="35" t="s">
        <v>105</v>
      </c>
      <c r="M6" s="75" t="s">
        <v>153</v>
      </c>
    </row>
    <row r="7" spans="1:13" ht="13.8" x14ac:dyDescent="0.3">
      <c r="B7" s="270" t="s">
        <v>430</v>
      </c>
      <c r="C7" s="209" t="s">
        <v>490</v>
      </c>
      <c r="I7" s="34">
        <v>401</v>
      </c>
      <c r="J7" s="34" t="s">
        <v>213</v>
      </c>
      <c r="K7" s="35" t="s">
        <v>92</v>
      </c>
      <c r="M7" s="75" t="s">
        <v>159</v>
      </c>
    </row>
    <row r="8" spans="1:13" ht="14.25" customHeight="1" thickBot="1" x14ac:dyDescent="0.35">
      <c r="A8" s="179" t="s">
        <v>425</v>
      </c>
      <c r="B8" s="274" t="s">
        <v>426</v>
      </c>
      <c r="C8" s="372" t="s">
        <v>460</v>
      </c>
      <c r="I8" s="34">
        <v>404</v>
      </c>
      <c r="J8" s="34" t="s">
        <v>213</v>
      </c>
      <c r="K8" s="35" t="s">
        <v>96</v>
      </c>
      <c r="M8" s="75" t="s">
        <v>160</v>
      </c>
    </row>
    <row r="9" spans="1:13" ht="13.8" x14ac:dyDescent="0.3">
      <c r="A9" s="147"/>
      <c r="B9" s="235"/>
      <c r="C9" s="410" t="str">
        <f>IF('4_AV e MU'!J13=0,"(FAVT-MU)","")</f>
        <v/>
      </c>
      <c r="D9" s="232"/>
      <c r="I9" s="34">
        <v>709</v>
      </c>
      <c r="J9" s="34" t="s">
        <v>216</v>
      </c>
      <c r="K9" s="35" t="s">
        <v>131</v>
      </c>
      <c r="M9" s="75" t="s">
        <v>31</v>
      </c>
    </row>
    <row r="10" spans="1:13" ht="14.4" thickBot="1" x14ac:dyDescent="0.35">
      <c r="A10" s="157"/>
      <c r="B10" s="158"/>
      <c r="C10" s="159"/>
      <c r="D10" s="232"/>
      <c r="I10" s="34">
        <v>107</v>
      </c>
      <c r="J10" s="34" t="s">
        <v>210</v>
      </c>
      <c r="K10" s="35" t="s">
        <v>61</v>
      </c>
      <c r="M10" s="75" t="s">
        <v>32</v>
      </c>
    </row>
    <row r="11" spans="1:13" s="139" customFormat="1" ht="13.95" customHeight="1" x14ac:dyDescent="0.3">
      <c r="A11" s="391" t="s">
        <v>427</v>
      </c>
      <c r="B11" s="398"/>
      <c r="C11" s="394" t="s">
        <v>88</v>
      </c>
      <c r="F11" s="211"/>
      <c r="I11" s="34">
        <v>105</v>
      </c>
      <c r="J11" s="34" t="s">
        <v>210</v>
      </c>
      <c r="K11" s="35" t="s">
        <v>59</v>
      </c>
      <c r="L11" s="142"/>
      <c r="M11" s="75" t="s">
        <v>156</v>
      </c>
    </row>
    <row r="12" spans="1:13" s="139" customFormat="1" ht="13.95" customHeight="1" x14ac:dyDescent="0.3">
      <c r="A12" s="393" t="s">
        <v>428</v>
      </c>
      <c r="B12" s="399" t="str">
        <f>VLOOKUP($C$18,'PREÇO BAIRROS'!$A$5:$D$92,4,0)</f>
        <v>II</v>
      </c>
      <c r="C12" s="395" t="s">
        <v>289</v>
      </c>
      <c r="F12" s="211"/>
      <c r="I12" s="34">
        <v>409</v>
      </c>
      <c r="J12" s="34" t="s">
        <v>213</v>
      </c>
      <c r="K12" s="35" t="s">
        <v>100</v>
      </c>
      <c r="M12" s="75" t="s">
        <v>157</v>
      </c>
    </row>
    <row r="13" spans="1:13" ht="14.4" x14ac:dyDescent="0.3">
      <c r="A13" s="392" t="s">
        <v>432</v>
      </c>
      <c r="B13" s="400" t="s">
        <v>384</v>
      </c>
      <c r="C13" s="396" t="s">
        <v>434</v>
      </c>
      <c r="I13" s="34">
        <v>408</v>
      </c>
      <c r="J13" s="34" t="s">
        <v>213</v>
      </c>
      <c r="K13" s="35" t="s">
        <v>99</v>
      </c>
      <c r="M13" s="75" t="s">
        <v>183</v>
      </c>
    </row>
    <row r="14" spans="1:13" ht="14.4" customHeight="1" thickBot="1" x14ac:dyDescent="0.35">
      <c r="A14" s="278" t="s">
        <v>433</v>
      </c>
      <c r="B14" s="401" t="s">
        <v>383</v>
      </c>
      <c r="C14" s="397"/>
      <c r="I14" s="34">
        <v>301</v>
      </c>
      <c r="J14" s="34" t="s">
        <v>212</v>
      </c>
      <c r="K14" s="35" t="s">
        <v>82</v>
      </c>
      <c r="M14" s="75" t="s">
        <v>33</v>
      </c>
    </row>
    <row r="15" spans="1:13" ht="14.4" thickBot="1" x14ac:dyDescent="0.35">
      <c r="A15" s="145"/>
      <c r="I15" s="34">
        <v>117</v>
      </c>
      <c r="J15" s="34" t="s">
        <v>210</v>
      </c>
      <c r="K15" s="169" t="s">
        <v>257</v>
      </c>
      <c r="M15" s="75" t="s">
        <v>34</v>
      </c>
    </row>
    <row r="16" spans="1:13" ht="13.8" x14ac:dyDescent="0.3">
      <c r="A16" s="415" t="s">
        <v>422</v>
      </c>
      <c r="B16" s="416"/>
      <c r="C16" s="417"/>
      <c r="I16" s="34">
        <v>706</v>
      </c>
      <c r="J16" s="34" t="s">
        <v>216</v>
      </c>
      <c r="K16" s="35" t="s">
        <v>128</v>
      </c>
      <c r="M16" s="75" t="s">
        <v>35</v>
      </c>
    </row>
    <row r="17" spans="1:13" ht="13.8" x14ac:dyDescent="0.3">
      <c r="A17" s="418"/>
      <c r="B17" s="419"/>
      <c r="C17" s="279"/>
      <c r="I17" s="34">
        <v>504</v>
      </c>
      <c r="J17" s="34" t="s">
        <v>214</v>
      </c>
      <c r="K17" s="35" t="s">
        <v>104</v>
      </c>
      <c r="M17" s="75" t="s">
        <v>36</v>
      </c>
    </row>
    <row r="18" spans="1:13" ht="33" customHeight="1" x14ac:dyDescent="0.3">
      <c r="A18" s="420" t="s">
        <v>396</v>
      </c>
      <c r="B18" s="421"/>
      <c r="C18" s="280" t="str">
        <f>IF(C11="","",VLOOKUP($C$11,'PREÇO BAIRROS'!$C$5:$H$92,6,0))</f>
        <v>0307</v>
      </c>
      <c r="I18" s="34">
        <v>103</v>
      </c>
      <c r="J18" s="34" t="s">
        <v>210</v>
      </c>
      <c r="K18" s="35" t="s">
        <v>57</v>
      </c>
      <c r="M18" s="75" t="s">
        <v>184</v>
      </c>
    </row>
    <row r="19" spans="1:13" ht="13.8" x14ac:dyDescent="0.3">
      <c r="A19" s="411" t="s">
        <v>240</v>
      </c>
      <c r="B19" s="412"/>
      <c r="C19" s="281">
        <v>250</v>
      </c>
      <c r="I19" s="34">
        <v>607</v>
      </c>
      <c r="J19" s="34" t="s">
        <v>215</v>
      </c>
      <c r="K19" s="35" t="s">
        <v>120</v>
      </c>
      <c r="M19" s="75" t="s">
        <v>185</v>
      </c>
    </row>
    <row r="20" spans="1:13" ht="13.8" x14ac:dyDescent="0.3">
      <c r="A20" s="411" t="s">
        <v>241</v>
      </c>
      <c r="B20" s="412"/>
      <c r="C20" s="281">
        <v>220</v>
      </c>
      <c r="I20" s="34">
        <v>106</v>
      </c>
      <c r="J20" s="34" t="s">
        <v>210</v>
      </c>
      <c r="K20" s="35" t="s">
        <v>60</v>
      </c>
      <c r="M20" s="75" t="s">
        <v>39</v>
      </c>
    </row>
    <row r="21" spans="1:13" ht="13.8" x14ac:dyDescent="0.3">
      <c r="A21" s="413" t="s">
        <v>242</v>
      </c>
      <c r="B21" s="414"/>
      <c r="C21" s="282">
        <f>C19-C20</f>
        <v>30</v>
      </c>
      <c r="I21" s="34">
        <v>503</v>
      </c>
      <c r="J21" s="34" t="s">
        <v>214</v>
      </c>
      <c r="K21" s="35" t="s">
        <v>103</v>
      </c>
      <c r="M21" s="75" t="s">
        <v>37</v>
      </c>
    </row>
    <row r="22" spans="1:13" ht="13.8" x14ac:dyDescent="0.3">
      <c r="A22" s="413" t="s">
        <v>250</v>
      </c>
      <c r="B22" s="414"/>
      <c r="C22" s="282">
        <f>C20/C19</f>
        <v>0.88</v>
      </c>
      <c r="E22" s="251">
        <v>1</v>
      </c>
      <c r="I22" s="34">
        <v>508</v>
      </c>
      <c r="J22" s="34" t="s">
        <v>214</v>
      </c>
      <c r="K22" s="35" t="s">
        <v>108</v>
      </c>
    </row>
    <row r="23" spans="1:13" ht="13.8" x14ac:dyDescent="0.3">
      <c r="A23" s="411" t="s">
        <v>386</v>
      </c>
      <c r="B23" s="412"/>
      <c r="C23" s="283">
        <v>1</v>
      </c>
      <c r="D23" s="212"/>
      <c r="E23" s="250">
        <v>2</v>
      </c>
      <c r="I23" s="34">
        <v>705</v>
      </c>
      <c r="J23" s="34" t="s">
        <v>216</v>
      </c>
      <c r="K23" s="35" t="s">
        <v>127</v>
      </c>
    </row>
    <row r="24" spans="1:13" ht="13.8" x14ac:dyDescent="0.3">
      <c r="A24" s="411" t="s">
        <v>247</v>
      </c>
      <c r="B24" s="412"/>
      <c r="C24" s="284">
        <v>5</v>
      </c>
      <c r="E24" s="251">
        <v>3</v>
      </c>
      <c r="I24" s="34">
        <v>514</v>
      </c>
      <c r="J24" s="34" t="s">
        <v>214</v>
      </c>
      <c r="K24" s="35" t="s">
        <v>113</v>
      </c>
    </row>
    <row r="25" spans="1:13" ht="13.8" x14ac:dyDescent="0.3">
      <c r="A25" s="411" t="s">
        <v>243</v>
      </c>
      <c r="B25" s="412"/>
      <c r="C25" s="285">
        <v>25</v>
      </c>
      <c r="E25" s="251">
        <v>4</v>
      </c>
      <c r="I25" s="34">
        <v>802</v>
      </c>
      <c r="J25" s="34" t="s">
        <v>217</v>
      </c>
      <c r="K25" s="35" t="s">
        <v>139</v>
      </c>
    </row>
    <row r="26" spans="1:13" ht="13.8" x14ac:dyDescent="0.3">
      <c r="A26" s="411" t="s">
        <v>244</v>
      </c>
      <c r="B26" s="412"/>
      <c r="C26" s="285">
        <v>10</v>
      </c>
      <c r="I26" s="34">
        <v>112</v>
      </c>
      <c r="J26" s="34" t="s">
        <v>210</v>
      </c>
      <c r="K26" s="35" t="s">
        <v>69</v>
      </c>
    </row>
    <row r="27" spans="1:13" ht="13.8" x14ac:dyDescent="0.3">
      <c r="A27" s="411" t="s">
        <v>201</v>
      </c>
      <c r="B27" s="412"/>
      <c r="C27" s="286" t="s">
        <v>31</v>
      </c>
      <c r="I27" s="34">
        <v>713</v>
      </c>
      <c r="J27" s="34" t="s">
        <v>216</v>
      </c>
      <c r="K27" s="35" t="s">
        <v>135</v>
      </c>
    </row>
    <row r="28" spans="1:13" ht="13.8" x14ac:dyDescent="0.3">
      <c r="A28" s="413" t="s">
        <v>245</v>
      </c>
      <c r="B28" s="414"/>
      <c r="C28" s="287" t="str">
        <f>VLOOKUP(C18,'PREÇO BAIRROS'!$A$5:$I$92,9,0)</f>
        <v>Não</v>
      </c>
      <c r="I28" s="34">
        <v>302</v>
      </c>
      <c r="J28" s="34" t="s">
        <v>212</v>
      </c>
      <c r="K28" s="35" t="s">
        <v>83</v>
      </c>
    </row>
    <row r="29" spans="1:13" ht="13.8" x14ac:dyDescent="0.3">
      <c r="A29" s="411" t="s">
        <v>256</v>
      </c>
      <c r="B29" s="412"/>
      <c r="C29" s="288" t="s">
        <v>151</v>
      </c>
      <c r="D29" s="156" t="s">
        <v>394</v>
      </c>
      <c r="F29" s="179" t="s">
        <v>151</v>
      </c>
      <c r="I29" s="34">
        <v>804</v>
      </c>
      <c r="J29" s="34" t="s">
        <v>217</v>
      </c>
      <c r="K29" s="35" t="s">
        <v>141</v>
      </c>
    </row>
    <row r="30" spans="1:13" ht="13.8" x14ac:dyDescent="0.3">
      <c r="A30" s="424" t="s">
        <v>249</v>
      </c>
      <c r="B30" s="425"/>
      <c r="C30" s="282">
        <f>x_Cálculo!E18</f>
        <v>0.15</v>
      </c>
      <c r="D30" s="219">
        <f>+x_Cálculo!G18</f>
        <v>0.15</v>
      </c>
      <c r="E30" s="220"/>
      <c r="F30" s="179" t="s">
        <v>150</v>
      </c>
      <c r="I30" s="34">
        <v>704</v>
      </c>
      <c r="J30" s="34" t="s">
        <v>216</v>
      </c>
      <c r="K30" s="35" t="s">
        <v>126</v>
      </c>
    </row>
    <row r="31" spans="1:13" ht="13.8" x14ac:dyDescent="0.3">
      <c r="A31" s="424" t="s">
        <v>197</v>
      </c>
      <c r="B31" s="425"/>
      <c r="C31" s="282">
        <f>x_Cálculo!E19</f>
        <v>0</v>
      </c>
      <c r="D31" s="219">
        <f>+x_Cálculo!G19</f>
        <v>0</v>
      </c>
      <c r="E31" s="220"/>
      <c r="I31" s="34">
        <v>309</v>
      </c>
      <c r="J31" s="34" t="s">
        <v>212</v>
      </c>
      <c r="K31" s="35" t="s">
        <v>90</v>
      </c>
    </row>
    <row r="32" spans="1:13" ht="13.8" x14ac:dyDescent="0.3">
      <c r="A32" s="424" t="s">
        <v>248</v>
      </c>
      <c r="B32" s="425"/>
      <c r="C32" s="282">
        <f>x_Cálculo!E20</f>
        <v>0</v>
      </c>
      <c r="D32" s="219">
        <f>+x_Cálculo!G20</f>
        <v>0</v>
      </c>
      <c r="E32" s="220"/>
      <c r="I32" s="34">
        <v>104</v>
      </c>
      <c r="J32" s="34" t="s">
        <v>210</v>
      </c>
      <c r="K32" s="35" t="s">
        <v>58</v>
      </c>
    </row>
    <row r="33" spans="1:11" ht="13.8" x14ac:dyDescent="0.3">
      <c r="A33" s="424" t="s">
        <v>199</v>
      </c>
      <c r="B33" s="425"/>
      <c r="C33" s="282">
        <f>x_Cálculo!E21</f>
        <v>0.1</v>
      </c>
      <c r="D33" s="219">
        <f>+x_Cálculo!G21</f>
        <v>0.1</v>
      </c>
      <c r="E33" s="220"/>
      <c r="I33" s="34">
        <v>203</v>
      </c>
      <c r="J33" s="34" t="s">
        <v>211</v>
      </c>
      <c r="K33" s="35" t="s">
        <v>78</v>
      </c>
    </row>
    <row r="34" spans="1:11" ht="13.8" x14ac:dyDescent="0.3">
      <c r="A34" s="422" t="s">
        <v>200</v>
      </c>
      <c r="B34" s="423"/>
      <c r="C34" s="289">
        <f>x_Cálculo!E22</f>
        <v>0.12</v>
      </c>
      <c r="D34" s="219">
        <f>+x_Cálculo!G22</f>
        <v>0.12</v>
      </c>
      <c r="E34" s="220"/>
      <c r="I34" s="34">
        <v>205</v>
      </c>
      <c r="J34" s="34" t="s">
        <v>211</v>
      </c>
      <c r="K34" s="35" t="s">
        <v>80</v>
      </c>
    </row>
    <row r="35" spans="1:11" ht="14.4" thickBot="1" x14ac:dyDescent="0.35">
      <c r="A35" s="290" t="s">
        <v>228</v>
      </c>
      <c r="B35" s="161"/>
      <c r="C35" s="291">
        <f>x_Cálculo!E23</f>
        <v>1.4168000000000001</v>
      </c>
      <c r="D35" s="222"/>
      <c r="E35" s="147"/>
      <c r="I35" s="34">
        <v>511</v>
      </c>
      <c r="J35" s="34" t="s">
        <v>214</v>
      </c>
      <c r="K35" s="35" t="s">
        <v>258</v>
      </c>
    </row>
    <row r="36" spans="1:11" ht="14.4" thickBot="1" x14ac:dyDescent="0.35">
      <c r="A36" s="411"/>
      <c r="B36" s="412"/>
      <c r="C36" s="375" t="s">
        <v>246</v>
      </c>
      <c r="D36" s="147"/>
      <c r="E36" s="147"/>
      <c r="I36" s="34">
        <v>115</v>
      </c>
      <c r="J36" s="34" t="s">
        <v>210</v>
      </c>
      <c r="K36" s="35" t="s">
        <v>74</v>
      </c>
    </row>
    <row r="37" spans="1:11" ht="13.8" x14ac:dyDescent="0.3">
      <c r="A37" s="376"/>
      <c r="B37" s="204" t="s">
        <v>253</v>
      </c>
      <c r="C37" s="377">
        <f>x_Cálculo!C4</f>
        <v>6000</v>
      </c>
      <c r="D37" s="147"/>
      <c r="E37" s="147"/>
      <c r="I37" s="34">
        <v>206</v>
      </c>
      <c r="J37" s="34" t="s">
        <v>211</v>
      </c>
      <c r="K37" s="35" t="s">
        <v>81</v>
      </c>
    </row>
    <row r="38" spans="1:11" ht="13.8" x14ac:dyDescent="0.3">
      <c r="A38" s="376"/>
      <c r="B38" s="204" t="s">
        <v>252</v>
      </c>
      <c r="C38" s="378">
        <f>x_Cálculo!E25</f>
        <v>8500.8000000000011</v>
      </c>
      <c r="D38" s="147"/>
      <c r="E38" s="147"/>
      <c r="I38" s="34">
        <v>608</v>
      </c>
      <c r="J38" s="34" t="s">
        <v>215</v>
      </c>
      <c r="K38" s="35" t="s">
        <v>121</v>
      </c>
    </row>
    <row r="39" spans="1:11" ht="13.8" x14ac:dyDescent="0.3">
      <c r="A39" s="376"/>
      <c r="B39" s="204" t="s">
        <v>251</v>
      </c>
      <c r="C39" s="378">
        <f>x_Cálculo!E26</f>
        <v>479.99999999999977</v>
      </c>
      <c r="D39" s="374">
        <f>x_Cálculo!G26</f>
        <v>479.99999999999977</v>
      </c>
      <c r="E39" s="220"/>
      <c r="I39" s="34">
        <v>712</v>
      </c>
      <c r="J39" s="34" t="s">
        <v>216</v>
      </c>
      <c r="K39" s="35" t="s">
        <v>134</v>
      </c>
    </row>
    <row r="40" spans="1:11" ht="13.8" x14ac:dyDescent="0.3">
      <c r="A40" s="376"/>
      <c r="B40" s="205" t="s">
        <v>391</v>
      </c>
      <c r="C40" s="379">
        <f>x_Cálculo!E28</f>
        <v>8980.8000000000011</v>
      </c>
      <c r="D40" s="219">
        <f>+x_Cálculo!G28</f>
        <v>8980.8000000000011</v>
      </c>
      <c r="E40" s="147"/>
      <c r="I40" s="34">
        <v>102</v>
      </c>
      <c r="J40" s="34" t="s">
        <v>210</v>
      </c>
      <c r="K40" s="35" t="s">
        <v>56</v>
      </c>
    </row>
    <row r="41" spans="1:11" ht="14.4" thickBot="1" x14ac:dyDescent="0.35">
      <c r="A41" s="380"/>
      <c r="B41" s="205" t="s">
        <v>392</v>
      </c>
      <c r="C41" s="381">
        <f>x_Cálculo!E29</f>
        <v>8980.8000000000011</v>
      </c>
      <c r="D41" s="219">
        <f>+x_Cálculo!G29</f>
        <v>8980.8000000000011</v>
      </c>
      <c r="E41" s="147"/>
      <c r="G41" s="252"/>
      <c r="I41" s="34"/>
      <c r="J41" s="34"/>
      <c r="K41" s="35"/>
    </row>
    <row r="42" spans="1:11" ht="17.399999999999999" customHeight="1" thickBot="1" x14ac:dyDescent="0.35">
      <c r="A42" s="382" t="s">
        <v>254</v>
      </c>
      <c r="B42" s="264" t="s">
        <v>421</v>
      </c>
      <c r="C42" s="265">
        <f>x_Cálculo!E30</f>
        <v>2245200.0000000005</v>
      </c>
      <c r="D42" s="219">
        <f>+x_Cálculo!G30</f>
        <v>2245200.0000000005</v>
      </c>
      <c r="E42" s="207"/>
      <c r="I42" s="34">
        <v>402</v>
      </c>
      <c r="J42" s="34" t="s">
        <v>213</v>
      </c>
      <c r="K42" s="35" t="s">
        <v>93</v>
      </c>
    </row>
    <row r="43" spans="1:11" ht="13.8" x14ac:dyDescent="0.3">
      <c r="A43" s="405" t="s">
        <v>475</v>
      </c>
      <c r="B43" s="364">
        <f>IF(A43=A58,B58,IF(A43=A59,B59,IF(A43=A60,B60)))</f>
        <v>15200</v>
      </c>
      <c r="C43" s="383"/>
      <c r="I43" s="34">
        <v>808</v>
      </c>
      <c r="J43" s="34" t="s">
        <v>217</v>
      </c>
      <c r="K43" s="35" t="s">
        <v>145</v>
      </c>
    </row>
    <row r="44" spans="1:11" ht="13.8" x14ac:dyDescent="0.3">
      <c r="A44" s="384" t="s">
        <v>408</v>
      </c>
      <c r="B44" s="207">
        <v>2400</v>
      </c>
      <c r="C44" s="385"/>
      <c r="I44" s="34">
        <v>510</v>
      </c>
      <c r="J44" s="34" t="s">
        <v>214</v>
      </c>
      <c r="K44" s="35" t="s">
        <v>110</v>
      </c>
    </row>
    <row r="45" spans="1:11" ht="13.8" x14ac:dyDescent="0.3">
      <c r="A45" s="384" t="s">
        <v>409</v>
      </c>
      <c r="B45" s="207">
        <f>0.01*C42</f>
        <v>22452.000000000004</v>
      </c>
      <c r="C45" s="385"/>
      <c r="I45" s="34">
        <v>407</v>
      </c>
      <c r="J45" s="34" t="s">
        <v>213</v>
      </c>
      <c r="K45" s="35" t="s">
        <v>98</v>
      </c>
    </row>
    <row r="46" spans="1:11" ht="13.8" x14ac:dyDescent="0.3">
      <c r="A46" s="384" t="s">
        <v>393</v>
      </c>
      <c r="B46" s="207">
        <f>C42*0.015</f>
        <v>33678.000000000007</v>
      </c>
      <c r="C46" s="385"/>
      <c r="I46" s="34"/>
      <c r="J46" s="34"/>
      <c r="K46" s="35"/>
    </row>
    <row r="47" spans="1:11" ht="13.8" x14ac:dyDescent="0.3">
      <c r="A47" s="386" t="s">
        <v>255</v>
      </c>
      <c r="B47" s="263">
        <f>SUM(B43:B46)</f>
        <v>73730</v>
      </c>
      <c r="C47" s="385"/>
      <c r="I47" s="34">
        <v>803</v>
      </c>
      <c r="J47" s="34" t="s">
        <v>217</v>
      </c>
      <c r="K47" s="35" t="s">
        <v>140</v>
      </c>
    </row>
    <row r="48" spans="1:11" ht="13.8" x14ac:dyDescent="0.3">
      <c r="A48" s="387"/>
      <c r="B48" s="153"/>
      <c r="C48" s="385"/>
      <c r="I48" s="34">
        <v>507</v>
      </c>
      <c r="J48" s="34" t="s">
        <v>214</v>
      </c>
      <c r="K48" s="35" t="s">
        <v>107</v>
      </c>
    </row>
    <row r="49" spans="1:11" ht="14.4" thickBot="1" x14ac:dyDescent="0.35">
      <c r="A49" s="384"/>
      <c r="B49" s="167"/>
      <c r="C49" s="385"/>
      <c r="I49" s="34">
        <v>715</v>
      </c>
      <c r="J49" s="34" t="s">
        <v>216</v>
      </c>
      <c r="K49" s="35" t="s">
        <v>137</v>
      </c>
    </row>
    <row r="50" spans="1:11" ht="15.9" customHeight="1" thickBot="1" x14ac:dyDescent="0.35">
      <c r="A50" s="407" t="s">
        <v>478</v>
      </c>
      <c r="B50" s="153"/>
      <c r="C50" s="385"/>
      <c r="D50" s="153"/>
      <c r="I50" s="34">
        <v>308</v>
      </c>
      <c r="J50" s="34" t="s">
        <v>212</v>
      </c>
      <c r="K50" s="35" t="s">
        <v>89</v>
      </c>
    </row>
    <row r="51" spans="1:11" ht="15.9" customHeight="1" thickBot="1" x14ac:dyDescent="0.35">
      <c r="A51" s="406"/>
      <c r="B51" s="360" t="s">
        <v>420</v>
      </c>
      <c r="C51" s="255">
        <f>CEILING(B46+B47+C42,10)</f>
        <v>2352610</v>
      </c>
      <c r="G51" s="252"/>
      <c r="I51" s="34">
        <v>116</v>
      </c>
      <c r="J51" s="34" t="s">
        <v>210</v>
      </c>
      <c r="K51" s="35" t="s">
        <v>75</v>
      </c>
    </row>
    <row r="52" spans="1:11" ht="15.9" customHeight="1" x14ac:dyDescent="0.3">
      <c r="A52" s="407" t="str">
        <f>IF(B49=1,"Prestação Única","Prestação Mensal")</f>
        <v>Prestação Mensal</v>
      </c>
      <c r="B52" s="153"/>
      <c r="C52" s="385"/>
      <c r="I52" s="34">
        <v>101</v>
      </c>
      <c r="J52" s="34" t="s">
        <v>210</v>
      </c>
      <c r="K52" s="35" t="s">
        <v>55</v>
      </c>
    </row>
    <row r="53" spans="1:11" ht="15.9" customHeight="1" thickBot="1" x14ac:dyDescent="0.35">
      <c r="A53" s="406"/>
      <c r="B53" s="153"/>
      <c r="C53" s="385"/>
      <c r="I53" s="34">
        <v>307</v>
      </c>
      <c r="J53" s="34" t="s">
        <v>212</v>
      </c>
      <c r="K53" s="35" t="s">
        <v>88</v>
      </c>
    </row>
    <row r="54" spans="1:11" ht="13.8" x14ac:dyDescent="0.3">
      <c r="A54" s="388"/>
      <c r="B54" s="208"/>
      <c r="C54" s="385"/>
      <c r="I54" s="34">
        <v>310</v>
      </c>
      <c r="J54" s="34" t="s">
        <v>212</v>
      </c>
      <c r="K54" s="35" t="s">
        <v>91</v>
      </c>
    </row>
    <row r="55" spans="1:11" ht="14.4" thickBot="1" x14ac:dyDescent="0.35">
      <c r="A55" s="389"/>
      <c r="B55" s="158"/>
      <c r="C55" s="390"/>
      <c r="I55" s="34">
        <v>801</v>
      </c>
      <c r="J55" s="34" t="s">
        <v>217</v>
      </c>
      <c r="K55" s="35" t="s">
        <v>138</v>
      </c>
    </row>
    <row r="56" spans="1:11" ht="13.8" x14ac:dyDescent="0.3">
      <c r="I56" s="34">
        <v>609</v>
      </c>
      <c r="J56" s="34" t="s">
        <v>215</v>
      </c>
      <c r="K56" s="35" t="s">
        <v>122</v>
      </c>
    </row>
    <row r="57" spans="1:11" ht="13.8" x14ac:dyDescent="0.3">
      <c r="B57" s="143"/>
      <c r="C57" s="143"/>
      <c r="I57" s="34">
        <v>506</v>
      </c>
      <c r="J57" s="34" t="s">
        <v>214</v>
      </c>
      <c r="K57" s="35" t="s">
        <v>106</v>
      </c>
    </row>
    <row r="58" spans="1:11" ht="13.8" x14ac:dyDescent="0.3">
      <c r="A58" s="156" t="s">
        <v>475</v>
      </c>
      <c r="B58" s="154">
        <v>15200</v>
      </c>
      <c r="I58" s="34">
        <v>806</v>
      </c>
      <c r="J58" s="34" t="s">
        <v>217</v>
      </c>
      <c r="K58" s="35" t="s">
        <v>143</v>
      </c>
    </row>
    <row r="59" spans="1:11" ht="13.8" x14ac:dyDescent="0.3">
      <c r="A59" s="156" t="s">
        <v>476</v>
      </c>
      <c r="B59" s="154">
        <v>24700</v>
      </c>
      <c r="I59" s="34">
        <v>201</v>
      </c>
      <c r="J59" s="34" t="s">
        <v>211</v>
      </c>
      <c r="K59" s="35" t="s">
        <v>76</v>
      </c>
    </row>
    <row r="60" spans="1:11" ht="13.8" x14ac:dyDescent="0.3">
      <c r="A60" s="156" t="s">
        <v>477</v>
      </c>
      <c r="B60" s="154">
        <v>11000</v>
      </c>
      <c r="I60" s="34">
        <v>405</v>
      </c>
      <c r="J60" s="34" t="s">
        <v>213</v>
      </c>
      <c r="K60" s="35" t="s">
        <v>95</v>
      </c>
    </row>
    <row r="61" spans="1:11" ht="13.8" x14ac:dyDescent="0.3">
      <c r="I61" s="34">
        <v>109</v>
      </c>
      <c r="J61" s="34" t="s">
        <v>210</v>
      </c>
      <c r="K61" s="35" t="s">
        <v>63</v>
      </c>
    </row>
    <row r="62" spans="1:11" ht="13.8" x14ac:dyDescent="0.3">
      <c r="I62" s="34">
        <v>807</v>
      </c>
      <c r="J62" s="34" t="s">
        <v>217</v>
      </c>
      <c r="K62" s="35" t="s">
        <v>144</v>
      </c>
    </row>
    <row r="63" spans="1:11" ht="13.8" x14ac:dyDescent="0.3">
      <c r="I63" s="34">
        <v>605</v>
      </c>
      <c r="J63" s="34" t="s">
        <v>215</v>
      </c>
      <c r="K63" s="35" t="s">
        <v>118</v>
      </c>
    </row>
    <row r="64" spans="1:11" ht="13.8" x14ac:dyDescent="0.3">
      <c r="I64" s="34">
        <v>606</v>
      </c>
      <c r="J64" s="34" t="s">
        <v>215</v>
      </c>
      <c r="K64" s="35" t="s">
        <v>119</v>
      </c>
    </row>
    <row r="65" spans="9:11" ht="13.8" x14ac:dyDescent="0.3">
      <c r="I65" s="34">
        <v>202</v>
      </c>
      <c r="J65" s="34" t="s">
        <v>211</v>
      </c>
      <c r="K65" s="35" t="s">
        <v>77</v>
      </c>
    </row>
    <row r="66" spans="9:11" ht="13.8" x14ac:dyDescent="0.3">
      <c r="I66" s="34">
        <v>303</v>
      </c>
      <c r="J66" s="34" t="s">
        <v>212</v>
      </c>
      <c r="K66" s="35" t="s">
        <v>84</v>
      </c>
    </row>
    <row r="67" spans="9:11" ht="13.8" x14ac:dyDescent="0.3">
      <c r="I67" s="34">
        <v>304</v>
      </c>
      <c r="J67" s="34" t="s">
        <v>212</v>
      </c>
      <c r="K67" s="35" t="s">
        <v>85</v>
      </c>
    </row>
    <row r="68" spans="9:11" ht="13.8" x14ac:dyDescent="0.3">
      <c r="I68" s="34">
        <v>708</v>
      </c>
      <c r="J68" s="34" t="s">
        <v>216</v>
      </c>
      <c r="K68" s="35" t="s">
        <v>130</v>
      </c>
    </row>
    <row r="69" spans="9:11" ht="13.8" x14ac:dyDescent="0.3">
      <c r="I69" s="34">
        <v>108</v>
      </c>
      <c r="J69" s="34" t="s">
        <v>210</v>
      </c>
      <c r="K69" s="35" t="s">
        <v>62</v>
      </c>
    </row>
    <row r="70" spans="9:11" ht="13.8" x14ac:dyDescent="0.3">
      <c r="I70" s="34">
        <v>711</v>
      </c>
      <c r="J70" s="34" t="s">
        <v>216</v>
      </c>
      <c r="K70" s="35" t="s">
        <v>133</v>
      </c>
    </row>
    <row r="71" spans="9:11" ht="13.8" x14ac:dyDescent="0.3">
      <c r="I71" s="34">
        <v>714</v>
      </c>
      <c r="J71" s="34" t="s">
        <v>216</v>
      </c>
      <c r="K71" s="35" t="s">
        <v>136</v>
      </c>
    </row>
    <row r="72" spans="9:11" ht="13.8" x14ac:dyDescent="0.3">
      <c r="I72" s="34">
        <v>601</v>
      </c>
      <c r="J72" s="34" t="s">
        <v>215</v>
      </c>
      <c r="K72" s="35" t="s">
        <v>114</v>
      </c>
    </row>
    <row r="73" spans="9:11" ht="13.8" x14ac:dyDescent="0.3">
      <c r="I73" s="34">
        <v>602</v>
      </c>
      <c r="J73" s="34" t="s">
        <v>215</v>
      </c>
      <c r="K73" s="35" t="s">
        <v>115</v>
      </c>
    </row>
    <row r="74" spans="9:11" ht="13.8" x14ac:dyDescent="0.3">
      <c r="I74" s="34">
        <v>707</v>
      </c>
      <c r="J74" s="34" t="s">
        <v>216</v>
      </c>
      <c r="K74" s="35" t="s">
        <v>129</v>
      </c>
    </row>
    <row r="75" spans="9:11" ht="13.8" x14ac:dyDescent="0.3">
      <c r="I75" s="34">
        <v>710</v>
      </c>
      <c r="J75" s="34" t="s">
        <v>216</v>
      </c>
      <c r="K75" s="35" t="s">
        <v>132</v>
      </c>
    </row>
    <row r="76" spans="9:11" ht="13.8" x14ac:dyDescent="0.3">
      <c r="I76" s="34">
        <v>113</v>
      </c>
      <c r="J76" s="34" t="s">
        <v>210</v>
      </c>
      <c r="K76" s="35" t="s">
        <v>71</v>
      </c>
    </row>
    <row r="77" spans="9:11" ht="13.8" x14ac:dyDescent="0.3">
      <c r="I77" s="34">
        <v>604</v>
      </c>
      <c r="J77" s="34" t="s">
        <v>215</v>
      </c>
      <c r="K77" s="35" t="s">
        <v>117</v>
      </c>
    </row>
    <row r="78" spans="9:11" ht="13.8" x14ac:dyDescent="0.3">
      <c r="I78" s="34">
        <v>512</v>
      </c>
      <c r="J78" s="34" t="s">
        <v>214</v>
      </c>
      <c r="K78" s="169" t="s">
        <v>111</v>
      </c>
    </row>
    <row r="79" spans="9:11" ht="13.8" x14ac:dyDescent="0.3">
      <c r="I79" s="34">
        <v>111</v>
      </c>
      <c r="J79" s="34" t="s">
        <v>210</v>
      </c>
      <c r="K79" s="35" t="s">
        <v>67</v>
      </c>
    </row>
    <row r="80" spans="9:11" ht="13.8" x14ac:dyDescent="0.3">
      <c r="I80" s="34">
        <v>513</v>
      </c>
      <c r="J80" s="34" t="s">
        <v>214</v>
      </c>
      <c r="K80" s="35" t="s">
        <v>112</v>
      </c>
    </row>
    <row r="81" spans="9:11" ht="13.8" x14ac:dyDescent="0.3">
      <c r="I81" s="34">
        <v>204</v>
      </c>
      <c r="J81" s="34" t="s">
        <v>211</v>
      </c>
      <c r="K81" s="35" t="s">
        <v>79</v>
      </c>
    </row>
    <row r="82" spans="9:11" ht="13.8" x14ac:dyDescent="0.3">
      <c r="I82" s="149">
        <v>501</v>
      </c>
      <c r="J82" s="34" t="s">
        <v>214</v>
      </c>
      <c r="K82" s="150" t="s">
        <v>101</v>
      </c>
    </row>
    <row r="83" spans="9:11" ht="13.8" x14ac:dyDescent="0.3">
      <c r="I83" s="34">
        <v>306</v>
      </c>
      <c r="J83" s="34" t="s">
        <v>212</v>
      </c>
      <c r="K83" s="35" t="s">
        <v>87</v>
      </c>
    </row>
    <row r="84" spans="9:11" ht="13.8" x14ac:dyDescent="0.3">
      <c r="I84" s="34">
        <v>509</v>
      </c>
      <c r="J84" s="34" t="s">
        <v>214</v>
      </c>
      <c r="K84" s="35" t="s">
        <v>109</v>
      </c>
    </row>
    <row r="85" spans="9:11" ht="13.8" x14ac:dyDescent="0.3">
      <c r="I85" s="34">
        <v>701</v>
      </c>
      <c r="J85" s="34" t="s">
        <v>216</v>
      </c>
      <c r="K85" s="35" t="s">
        <v>123</v>
      </c>
    </row>
    <row r="86" spans="9:11" ht="13.8" x14ac:dyDescent="0.3">
      <c r="I86" s="34">
        <v>305</v>
      </c>
      <c r="J86" s="34" t="s">
        <v>212</v>
      </c>
      <c r="K86" s="35" t="s">
        <v>86</v>
      </c>
    </row>
    <row r="87" spans="9:11" ht="13.8" x14ac:dyDescent="0.3">
      <c r="I87" s="34">
        <v>502</v>
      </c>
      <c r="J87" s="34" t="s">
        <v>214</v>
      </c>
      <c r="K87" s="35" t="s">
        <v>102</v>
      </c>
    </row>
    <row r="88" spans="9:11" ht="13.8" x14ac:dyDescent="0.3">
      <c r="I88" s="34">
        <v>703</v>
      </c>
      <c r="J88" s="34" t="s">
        <v>216</v>
      </c>
      <c r="K88" s="35" t="s">
        <v>125</v>
      </c>
    </row>
    <row r="89" spans="9:11" ht="13.8" x14ac:dyDescent="0.3">
      <c r="I89" s="34">
        <v>110</v>
      </c>
      <c r="J89" s="34" t="s">
        <v>210</v>
      </c>
      <c r="K89" s="35" t="s">
        <v>65</v>
      </c>
    </row>
    <row r="90" spans="9:11" ht="13.8" x14ac:dyDescent="0.3">
      <c r="I90" s="34">
        <v>406</v>
      </c>
      <c r="J90" s="34" t="s">
        <v>213</v>
      </c>
      <c r="K90" s="35" t="s">
        <v>97</v>
      </c>
    </row>
    <row r="91" spans="9:11" ht="13.8" x14ac:dyDescent="0.3">
      <c r="I91" s="34">
        <v>403</v>
      </c>
      <c r="J91" s="34" t="s">
        <v>213</v>
      </c>
      <c r="K91" s="35" t="s">
        <v>94</v>
      </c>
    </row>
    <row r="92" spans="9:11" ht="13.8" x14ac:dyDescent="0.3">
      <c r="I92" s="34"/>
      <c r="J92" s="34"/>
      <c r="K92" s="35"/>
    </row>
    <row r="93" spans="9:11" ht="13.8" x14ac:dyDescent="0.3">
      <c r="I93" s="34"/>
      <c r="J93" s="34"/>
      <c r="K93" s="35"/>
    </row>
  </sheetData>
  <sheetProtection selectLockedCells="1"/>
  <sortState ref="M4:M21">
    <sortCondition ref="M4:M21"/>
  </sortState>
  <mergeCells count="20">
    <mergeCell ref="A16:C16"/>
    <mergeCell ref="A17:B17"/>
    <mergeCell ref="A18:B18"/>
    <mergeCell ref="A29:B29"/>
    <mergeCell ref="A34:B34"/>
    <mergeCell ref="A19:B19"/>
    <mergeCell ref="A32:B32"/>
    <mergeCell ref="A33:B33"/>
    <mergeCell ref="A31:B31"/>
    <mergeCell ref="A26:B26"/>
    <mergeCell ref="A27:B27"/>
    <mergeCell ref="A28:B28"/>
    <mergeCell ref="A25:B25"/>
    <mergeCell ref="A30:B30"/>
    <mergeCell ref="A36:B36"/>
    <mergeCell ref="A20:B20"/>
    <mergeCell ref="A21:B21"/>
    <mergeCell ref="A22:B22"/>
    <mergeCell ref="A23:B23"/>
    <mergeCell ref="A24:B24"/>
  </mergeCells>
  <conditionalFormatting sqref="D11">
    <cfRule type="cellIs" dxfId="6" priority="2" operator="notEqual">
      <formula>$D$11</formula>
    </cfRule>
  </conditionalFormatting>
  <dataValidations count="6">
    <dataValidation type="list" allowBlank="1" showInputMessage="1" showErrorMessage="1" sqref="C29">
      <formula1>$F$29:$F$30</formula1>
    </dataValidation>
    <dataValidation type="list" allowBlank="1" showInputMessage="1" showErrorMessage="1" sqref="C27">
      <formula1>$M$4:$M$21</formula1>
    </dataValidation>
    <dataValidation type="list" allowBlank="1" showInputMessage="1" showErrorMessage="1" sqref="C11">
      <formula1>$K$4:$K$91</formula1>
    </dataValidation>
    <dataValidation type="list" allowBlank="1" showInputMessage="1" showErrorMessage="1" sqref="C12">
      <formula1>$H$4:$H$6</formula1>
    </dataValidation>
    <dataValidation type="list" allowBlank="1" showInputMessage="1" showErrorMessage="1" sqref="C23">
      <formula1>$E$22:$E$25</formula1>
    </dataValidation>
    <dataValidation type="list" allowBlank="1" showInputMessage="1" showErrorMessage="1" sqref="A43">
      <formula1>$A$58:$A$60</formula1>
    </dataValidation>
  </dataValidations>
  <printOptions horizontalCentered="1"/>
  <pageMargins left="0.74803149606299213" right="0.74803149606299213" top="0.98425196850393704" bottom="0.98425196850393704" header="0.51181102362204722" footer="0.51181102362204722"/>
  <pageSetup paperSize="9" scale="83" orientation="portrait" r:id="rId1"/>
  <headerFooter alignWithMargins="0">
    <oddHeader xml:space="preserve">&amp;RFICHA DE AVALIAÇÃO DO VALOR DE TERRENO (FAVT)
1. Prédio/Terreno Originário (sem alterações)
 </oddHeader>
    <oddFooter>&amp;LNOTA:
Validade: 30 dias. Findo esse prazo a CMP desobriga-se de qualquer compromisso.
Concretização e conclusão através de Contrato, com suporte de Certidão Matricial e Certificado de Aproveitamento Urbanístico (Planta/Croqui de Localização)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0"/>
  <sheetViews>
    <sheetView showGridLines="0" tabSelected="1" view="pageBreakPreview" topLeftCell="A16" zoomScaleNormal="100" zoomScaleSheetLayoutView="100" workbookViewId="0">
      <selection activeCell="C12" sqref="C12"/>
    </sheetView>
  </sheetViews>
  <sheetFormatPr defaultColWidth="8.88671875" defaultRowHeight="13.2" x14ac:dyDescent="0.25"/>
  <cols>
    <col min="1" max="1" width="36.88671875" style="142" customWidth="1"/>
    <col min="2" max="2" width="24.6640625" style="142" customWidth="1"/>
    <col min="3" max="3" width="33.5546875" style="142" customWidth="1"/>
    <col min="4" max="4" width="14.44140625" style="142" customWidth="1"/>
    <col min="5" max="5" width="8.88671875" style="142" hidden="1" customWidth="1"/>
    <col min="6" max="6" width="8.88671875" style="179" hidden="1" customWidth="1"/>
    <col min="7" max="8" width="8.88671875" style="142" hidden="1" customWidth="1"/>
    <col min="9" max="9" width="31.5546875" style="142" hidden="1" customWidth="1"/>
    <col min="10" max="18" width="8.88671875" style="142"/>
    <col min="19" max="19" width="20.109375" style="142" customWidth="1"/>
    <col min="20" max="16384" width="8.88671875" style="142"/>
  </cols>
  <sheetData>
    <row r="1" spans="1:19" s="139" customFormat="1" ht="48" customHeight="1" x14ac:dyDescent="0.3">
      <c r="A1" s="228" t="s">
        <v>237</v>
      </c>
      <c r="B1" s="213"/>
      <c r="C1" s="229"/>
      <c r="D1" s="213"/>
      <c r="F1" s="211"/>
    </row>
    <row r="2" spans="1:19" x14ac:dyDescent="0.25">
      <c r="A2" s="230"/>
      <c r="B2" s="153"/>
      <c r="C2" s="153"/>
      <c r="D2" s="153"/>
    </row>
    <row r="3" spans="1:19" ht="13.8" x14ac:dyDescent="0.3">
      <c r="A3" s="148" t="s">
        <v>382</v>
      </c>
      <c r="B3" s="153"/>
      <c r="C3" s="144" t="s">
        <v>238</v>
      </c>
      <c r="D3" s="214"/>
      <c r="H3" s="178" t="s">
        <v>289</v>
      </c>
      <c r="I3" s="75" t="s">
        <v>158</v>
      </c>
    </row>
    <row r="4" spans="1:19" ht="13.8" x14ac:dyDescent="0.3">
      <c r="A4" s="233" t="str">
        <f>'1_FAVT_1_Ori'!A4</f>
        <v>xxx</v>
      </c>
      <c r="B4" s="148"/>
      <c r="C4" s="146">
        <f ca="1">TODAY()</f>
        <v>44945</v>
      </c>
      <c r="D4" s="214"/>
      <c r="H4" s="142" t="s">
        <v>290</v>
      </c>
      <c r="I4" s="75" t="s">
        <v>152</v>
      </c>
    </row>
    <row r="5" spans="1:19" ht="13.8" x14ac:dyDescent="0.3">
      <c r="A5" s="231"/>
      <c r="B5" s="270" t="s">
        <v>429</v>
      </c>
      <c r="C5" s="144" t="s">
        <v>239</v>
      </c>
      <c r="D5" s="214"/>
      <c r="H5" s="142" t="s">
        <v>291</v>
      </c>
      <c r="I5" s="75" t="s">
        <v>153</v>
      </c>
    </row>
    <row r="6" spans="1:19" ht="15" thickBot="1" x14ac:dyDescent="0.35">
      <c r="A6" s="232"/>
      <c r="B6" s="359" t="str">
        <f>'1_FAVT_1_Ori'!B6</f>
        <v>20xxxx</v>
      </c>
      <c r="C6" s="276" t="s">
        <v>431</v>
      </c>
      <c r="D6" s="214"/>
      <c r="I6" s="75" t="s">
        <v>159</v>
      </c>
    </row>
    <row r="7" spans="1:19" ht="13.8" x14ac:dyDescent="0.3">
      <c r="A7" s="232"/>
      <c r="B7" s="270" t="s">
        <v>430</v>
      </c>
      <c r="C7" s="209" t="str">
        <f>'1_FAVT_1_Ori'!C7</f>
        <v>Versão:       FAVT V4.1   (2020-07)</v>
      </c>
      <c r="I7" s="75" t="s">
        <v>160</v>
      </c>
    </row>
    <row r="8" spans="1:19" ht="15" thickBot="1" x14ac:dyDescent="0.35">
      <c r="A8" s="179" t="s">
        <v>425</v>
      </c>
      <c r="B8" s="274" t="str">
        <f>+'1_FAVT_1_Ori'!B8</f>
        <v>0-0-0</v>
      </c>
      <c r="C8" s="373" t="str">
        <f>+'1_FAVT_1_Ori'!C8</f>
        <v>PDM (BO 68/2016 de 7/12); Revisão Geral</v>
      </c>
      <c r="I8" s="75" t="s">
        <v>31</v>
      </c>
      <c r="S8" s="215"/>
    </row>
    <row r="9" spans="1:19" ht="13.8" x14ac:dyDescent="0.3">
      <c r="A9" s="222"/>
      <c r="B9" s="235"/>
      <c r="C9" s="371" t="str">
        <f>'1_FAVT_1_Ori'!C9</f>
        <v/>
      </c>
      <c r="D9" s="153"/>
      <c r="I9" s="75" t="s">
        <v>32</v>
      </c>
      <c r="S9" s="215"/>
    </row>
    <row r="10" spans="1:19" ht="14.4" thickBot="1" x14ac:dyDescent="0.35">
      <c r="A10" s="157"/>
      <c r="B10" s="158"/>
      <c r="C10" s="159"/>
      <c r="D10" s="153"/>
      <c r="I10" s="75" t="s">
        <v>156</v>
      </c>
    </row>
    <row r="11" spans="1:19" s="139" customFormat="1" ht="13.95" customHeight="1" x14ac:dyDescent="0.3">
      <c r="A11" s="391" t="s">
        <v>427</v>
      </c>
      <c r="B11" s="398"/>
      <c r="C11" s="402" t="str">
        <f>+'1_FAVT_1_Ori'!C11</f>
        <v>Palmarejo</v>
      </c>
      <c r="D11" s="213"/>
      <c r="F11" s="211"/>
      <c r="I11" s="75" t="s">
        <v>157</v>
      </c>
    </row>
    <row r="12" spans="1:19" s="139" customFormat="1" ht="13.95" customHeight="1" x14ac:dyDescent="0.3">
      <c r="A12" s="393" t="s">
        <v>428</v>
      </c>
      <c r="B12" s="399" t="str">
        <f>VLOOKUP($C$18,'PREÇO BAIRROS'!$A$5:$D$92,4,0)</f>
        <v>II</v>
      </c>
      <c r="C12" s="395" t="s">
        <v>289</v>
      </c>
      <c r="D12" s="213"/>
      <c r="F12" s="211"/>
      <c r="I12" s="75" t="s">
        <v>183</v>
      </c>
    </row>
    <row r="13" spans="1:19" ht="14.4" x14ac:dyDescent="0.3">
      <c r="A13" s="392" t="str">
        <f>'1_FAVT_1_Ori'!A13</f>
        <v>Referência/Nº de Matriz (Código da Matriz):</v>
      </c>
      <c r="B13" s="400" t="str">
        <f>'1_FAVT_1_Ori'!B13</f>
        <v>R/U_xxx-y</v>
      </c>
      <c r="C13" s="403" t="s">
        <v>434</v>
      </c>
      <c r="G13" s="232" t="s">
        <v>461</v>
      </c>
      <c r="I13" s="75" t="s">
        <v>33</v>
      </c>
    </row>
    <row r="14" spans="1:19" ht="14.4" thickBot="1" x14ac:dyDescent="0.35">
      <c r="A14" s="278" t="str">
        <f>'1_FAVT_1_Ori'!A14</f>
        <v>(ex: R_123-0)</v>
      </c>
      <c r="B14" s="401" t="str">
        <f>'1_FAVT_1_Ori'!B14</f>
        <v>"[R/U]_[Número]-[Fracção]"</v>
      </c>
      <c r="C14" s="404"/>
      <c r="G14" s="153" t="str">
        <f>IF(C27&lt;&gt;'1_FAVT_1_Ori'!C27,0,"")</f>
        <v/>
      </c>
      <c r="I14" s="75" t="s">
        <v>34</v>
      </c>
    </row>
    <row r="15" spans="1:19" ht="14.4" thickBot="1" x14ac:dyDescent="0.35">
      <c r="A15" s="233"/>
      <c r="B15" s="153"/>
      <c r="C15" s="153"/>
      <c r="D15" s="153"/>
      <c r="I15" s="75" t="s">
        <v>35</v>
      </c>
    </row>
    <row r="16" spans="1:19" ht="13.8" x14ac:dyDescent="0.3">
      <c r="A16" s="415" t="s">
        <v>423</v>
      </c>
      <c r="B16" s="416"/>
      <c r="C16" s="417"/>
      <c r="D16" s="153"/>
      <c r="I16" s="75" t="s">
        <v>36</v>
      </c>
    </row>
    <row r="17" spans="1:9" ht="13.8" x14ac:dyDescent="0.3">
      <c r="A17" s="418"/>
      <c r="B17" s="419"/>
      <c r="C17" s="279"/>
      <c r="D17" s="153"/>
      <c r="I17" s="75" t="s">
        <v>184</v>
      </c>
    </row>
    <row r="18" spans="1:9" ht="33" customHeight="1" x14ac:dyDescent="0.3">
      <c r="A18" s="420" t="s">
        <v>396</v>
      </c>
      <c r="B18" s="421"/>
      <c r="C18" s="287" t="str">
        <f>IF(C11="","",VLOOKUP($C$11,'PREÇO BAIRROS'!$C$5:$H$92,6,0))</f>
        <v>0307</v>
      </c>
      <c r="D18" s="153"/>
      <c r="I18" s="75" t="s">
        <v>185</v>
      </c>
    </row>
    <row r="19" spans="1:9" ht="13.8" x14ac:dyDescent="0.3">
      <c r="A19" s="411" t="s">
        <v>240</v>
      </c>
      <c r="B19" s="412"/>
      <c r="C19" s="271">
        <v>250</v>
      </c>
      <c r="D19" s="153"/>
      <c r="I19" s="75" t="s">
        <v>39</v>
      </c>
    </row>
    <row r="20" spans="1:9" ht="13.8" x14ac:dyDescent="0.3">
      <c r="A20" s="411" t="s">
        <v>241</v>
      </c>
      <c r="B20" s="412"/>
      <c r="C20" s="271">
        <v>220</v>
      </c>
      <c r="D20" s="153"/>
      <c r="I20" s="75" t="s">
        <v>37</v>
      </c>
    </row>
    <row r="21" spans="1:9" ht="13.8" x14ac:dyDescent="0.3">
      <c r="A21" s="413" t="s">
        <v>242</v>
      </c>
      <c r="B21" s="414"/>
      <c r="C21" s="282">
        <f>C19-C20</f>
        <v>30</v>
      </c>
      <c r="D21" s="153"/>
      <c r="I21" s="224"/>
    </row>
    <row r="22" spans="1:9" ht="13.8" x14ac:dyDescent="0.25">
      <c r="A22" s="413" t="s">
        <v>250</v>
      </c>
      <c r="B22" s="414"/>
      <c r="C22" s="282">
        <f>C20/C19</f>
        <v>0.88</v>
      </c>
      <c r="D22" s="153"/>
      <c r="E22" s="250">
        <v>1</v>
      </c>
    </row>
    <row r="23" spans="1:9" ht="13.8" x14ac:dyDescent="0.3">
      <c r="A23" s="411" t="s">
        <v>386</v>
      </c>
      <c r="B23" s="412"/>
      <c r="C23" s="294">
        <v>1</v>
      </c>
      <c r="D23" s="292"/>
      <c r="E23" s="250">
        <v>2</v>
      </c>
    </row>
    <row r="24" spans="1:9" ht="13.8" x14ac:dyDescent="0.3">
      <c r="A24" s="426" t="s">
        <v>247</v>
      </c>
      <c r="B24" s="427"/>
      <c r="C24" s="272">
        <v>6</v>
      </c>
      <c r="D24" s="153"/>
      <c r="E24" s="251">
        <v>3</v>
      </c>
    </row>
    <row r="25" spans="1:9" ht="13.8" x14ac:dyDescent="0.3">
      <c r="A25" s="411" t="s">
        <v>243</v>
      </c>
      <c r="B25" s="412"/>
      <c r="C25" s="273">
        <v>25</v>
      </c>
      <c r="D25" s="153"/>
      <c r="E25" s="251">
        <v>4</v>
      </c>
    </row>
    <row r="26" spans="1:9" ht="13.8" x14ac:dyDescent="0.3">
      <c r="A26" s="411" t="s">
        <v>244</v>
      </c>
      <c r="B26" s="412"/>
      <c r="C26" s="273">
        <v>10</v>
      </c>
      <c r="D26" s="153"/>
    </row>
    <row r="27" spans="1:9" ht="13.8" x14ac:dyDescent="0.25">
      <c r="A27" s="411" t="s">
        <v>201</v>
      </c>
      <c r="B27" s="412"/>
      <c r="C27" s="286" t="s">
        <v>31</v>
      </c>
      <c r="D27" s="153"/>
    </row>
    <row r="28" spans="1:9" ht="13.8" x14ac:dyDescent="0.25">
      <c r="A28" s="413" t="s">
        <v>245</v>
      </c>
      <c r="B28" s="414"/>
      <c r="C28" s="287" t="str">
        <f>VLOOKUP(C18,'PREÇO BAIRROS'!$A$5:$I$92,9,0)</f>
        <v>Não</v>
      </c>
      <c r="D28" s="153"/>
    </row>
    <row r="29" spans="1:9" ht="13.8" x14ac:dyDescent="0.25">
      <c r="A29" s="411" t="s">
        <v>256</v>
      </c>
      <c r="B29" s="412"/>
      <c r="C29" s="295" t="s">
        <v>151</v>
      </c>
      <c r="D29" s="293" t="s">
        <v>394</v>
      </c>
      <c r="E29" s="147"/>
      <c r="F29" s="179" t="s">
        <v>151</v>
      </c>
    </row>
    <row r="30" spans="1:9" ht="13.8" x14ac:dyDescent="0.25">
      <c r="A30" s="424" t="s">
        <v>249</v>
      </c>
      <c r="B30" s="425"/>
      <c r="C30" s="282">
        <f>y_Cálculo!E18</f>
        <v>0.2</v>
      </c>
      <c r="D30" s="219">
        <f>+y_Cálculo!G18</f>
        <v>0.2</v>
      </c>
      <c r="E30" s="220"/>
      <c r="F30" s="179" t="s">
        <v>150</v>
      </c>
    </row>
    <row r="31" spans="1:9" ht="13.8" x14ac:dyDescent="0.25">
      <c r="A31" s="424" t="s">
        <v>197</v>
      </c>
      <c r="B31" s="425"/>
      <c r="C31" s="282">
        <f>y_Cálculo!E19</f>
        <v>0.14166666666666666</v>
      </c>
      <c r="D31" s="219">
        <f>+y_Cálculo!G19</f>
        <v>0.14166666666666666</v>
      </c>
      <c r="E31" s="220"/>
    </row>
    <row r="32" spans="1:9" ht="13.8" x14ac:dyDescent="0.25">
      <c r="A32" s="424" t="s">
        <v>248</v>
      </c>
      <c r="B32" s="425"/>
      <c r="C32" s="282">
        <f>y_Cálculo!E20</f>
        <v>1.1000000000000001</v>
      </c>
      <c r="D32" s="219">
        <f>+y_Cálculo!G20</f>
        <v>1.1000000000000001</v>
      </c>
      <c r="E32" s="220"/>
    </row>
    <row r="33" spans="1:5" ht="13.8" x14ac:dyDescent="0.25">
      <c r="A33" s="424" t="s">
        <v>199</v>
      </c>
      <c r="B33" s="425"/>
      <c r="C33" s="282">
        <f>y_Cálculo!E21</f>
        <v>0.1</v>
      </c>
      <c r="D33" s="219">
        <f>+y_Cálculo!G21</f>
        <v>0.1</v>
      </c>
      <c r="E33" s="220"/>
    </row>
    <row r="34" spans="1:5" ht="13.8" x14ac:dyDescent="0.25">
      <c r="A34" s="422" t="s">
        <v>200</v>
      </c>
      <c r="B34" s="423"/>
      <c r="C34" s="289">
        <f>y_Cálculo!E22</f>
        <v>0.12</v>
      </c>
      <c r="D34" s="219">
        <f>+y_Cálculo!G22</f>
        <v>0.12</v>
      </c>
      <c r="E34" s="220"/>
    </row>
    <row r="35" spans="1:5" ht="14.4" thickBot="1" x14ac:dyDescent="0.3">
      <c r="A35" s="290" t="s">
        <v>228</v>
      </c>
      <c r="B35" s="161"/>
      <c r="C35" s="291">
        <f>y_Cálculo!E23</f>
        <v>3.5444640000000001</v>
      </c>
      <c r="D35" s="222"/>
      <c r="E35" s="147"/>
    </row>
    <row r="36" spans="1:5" ht="14.4" thickBot="1" x14ac:dyDescent="0.3">
      <c r="A36" s="412"/>
      <c r="B36" s="412"/>
      <c r="C36" s="160" t="s">
        <v>246</v>
      </c>
      <c r="D36" s="222"/>
      <c r="E36" s="147"/>
    </row>
    <row r="37" spans="1:5" ht="13.8" x14ac:dyDescent="0.25">
      <c r="A37" s="234"/>
      <c r="B37" s="204" t="s">
        <v>253</v>
      </c>
      <c r="C37" s="162">
        <f>+y_Cálculo!C4</f>
        <v>6000</v>
      </c>
      <c r="D37" s="221"/>
      <c r="E37" s="147"/>
    </row>
    <row r="38" spans="1:5" ht="13.8" x14ac:dyDescent="0.25">
      <c r="A38" s="234"/>
      <c r="B38" s="204" t="s">
        <v>252</v>
      </c>
      <c r="C38" s="163">
        <f>+y_Cálculo!E25</f>
        <v>21266.784</v>
      </c>
      <c r="D38" s="221"/>
      <c r="E38" s="147"/>
    </row>
    <row r="39" spans="1:5" ht="13.8" x14ac:dyDescent="0.25">
      <c r="A39" s="234"/>
      <c r="B39" s="204" t="s">
        <v>251</v>
      </c>
      <c r="C39" s="163">
        <f>y_Cálculo!E26</f>
        <v>479.99999999999977</v>
      </c>
      <c r="D39" s="218">
        <f>y_Cálculo!G26</f>
        <v>479.99999999999977</v>
      </c>
      <c r="E39" s="147"/>
    </row>
    <row r="40" spans="1:5" ht="13.8" x14ac:dyDescent="0.25">
      <c r="A40" s="234"/>
      <c r="B40" s="205" t="s">
        <v>391</v>
      </c>
      <c r="C40" s="164">
        <f>y_Cálculo!E28</f>
        <v>21746.784</v>
      </c>
      <c r="D40" s="217">
        <f>y_Cálculo!G28</f>
        <v>21746.784</v>
      </c>
      <c r="E40" s="147"/>
    </row>
    <row r="41" spans="1:5" ht="14.4" thickBot="1" x14ac:dyDescent="0.3">
      <c r="A41" s="213"/>
      <c r="B41" s="205" t="s">
        <v>392</v>
      </c>
      <c r="C41" s="227">
        <f>y_Cálculo!E29</f>
        <v>21746.784</v>
      </c>
      <c r="D41" s="217">
        <f>y_Cálculo!G29</f>
        <v>21746.784</v>
      </c>
      <c r="E41" s="147"/>
    </row>
    <row r="42" spans="1:5" ht="17.399999999999999" customHeight="1" thickBot="1" x14ac:dyDescent="0.35">
      <c r="A42" s="165" t="s">
        <v>254</v>
      </c>
      <c r="B42" s="205" t="s">
        <v>421</v>
      </c>
      <c r="C42" s="265">
        <f>y_Cálculo!E30</f>
        <v>5436696</v>
      </c>
      <c r="D42" s="223">
        <f>y_Cálculo!G30</f>
        <v>5436696</v>
      </c>
      <c r="E42" s="147"/>
    </row>
    <row r="43" spans="1:5" ht="13.8" x14ac:dyDescent="0.3">
      <c r="A43" s="297" t="str">
        <f>+'1_FAVT_1_Ori'!A43</f>
        <v>Escritura/Contrato Compra e Venda</v>
      </c>
      <c r="B43" s="296">
        <f>'1_FAVT_1_Ori'!B43</f>
        <v>15200</v>
      </c>
      <c r="C43" s="216"/>
      <c r="D43" s="153"/>
    </row>
    <row r="44" spans="1:5" x14ac:dyDescent="0.25">
      <c r="A44" s="156" t="s">
        <v>408</v>
      </c>
      <c r="B44" s="155">
        <v>2400</v>
      </c>
      <c r="C44" s="153"/>
      <c r="D44" s="153"/>
    </row>
    <row r="45" spans="1:5" x14ac:dyDescent="0.25">
      <c r="A45" s="156" t="s">
        <v>409</v>
      </c>
      <c r="B45" s="155">
        <f>0.01*C42</f>
        <v>54366.96</v>
      </c>
      <c r="C45" s="153"/>
      <c r="D45" s="153"/>
    </row>
    <row r="46" spans="1:5" x14ac:dyDescent="0.25">
      <c r="A46" s="156" t="s">
        <v>393</v>
      </c>
      <c r="B46" s="155">
        <f>C42*0.015</f>
        <v>81550.44</v>
      </c>
      <c r="C46" s="153"/>
      <c r="D46" s="153"/>
    </row>
    <row r="47" spans="1:5" x14ac:dyDescent="0.25">
      <c r="A47" s="262" t="s">
        <v>255</v>
      </c>
      <c r="B47" s="263">
        <f>SUM(B43:B46)</f>
        <v>153517.4</v>
      </c>
      <c r="C47" s="153"/>
      <c r="D47" s="153"/>
    </row>
    <row r="48" spans="1:5" x14ac:dyDescent="0.25">
      <c r="A48" s="235"/>
      <c r="B48" s="207"/>
      <c r="C48" s="153"/>
      <c r="D48" s="153"/>
    </row>
    <row r="49" spans="1:4" x14ac:dyDescent="0.25">
      <c r="A49" s="235"/>
      <c r="B49" s="207"/>
      <c r="C49" s="153"/>
      <c r="D49" s="153"/>
    </row>
    <row r="50" spans="1:4" ht="13.8" thickBot="1" x14ac:dyDescent="0.3">
      <c r="A50" s="153"/>
      <c r="B50" s="153"/>
      <c r="C50" s="153"/>
      <c r="D50" s="153"/>
    </row>
    <row r="51" spans="1:4" ht="16.2" thickBot="1" x14ac:dyDescent="0.3">
      <c r="A51" s="153"/>
      <c r="B51" s="360" t="s">
        <v>420</v>
      </c>
      <c r="C51" s="255">
        <f>CEILING(B46+B47+C42,10)</f>
        <v>5671770</v>
      </c>
    </row>
    <row r="52" spans="1:4" x14ac:dyDescent="0.25">
      <c r="A52" s="153"/>
      <c r="B52" s="153"/>
      <c r="C52" s="153"/>
      <c r="D52" s="153"/>
    </row>
    <row r="53" spans="1:4" x14ac:dyDescent="0.25">
      <c r="A53" s="153"/>
      <c r="B53" s="153"/>
      <c r="C53" s="153"/>
      <c r="D53" s="153"/>
    </row>
    <row r="54" spans="1:4" x14ac:dyDescent="0.25">
      <c r="A54" s="208"/>
      <c r="B54" s="208"/>
      <c r="C54" s="153"/>
      <c r="D54" s="153"/>
    </row>
    <row r="55" spans="1:4" x14ac:dyDescent="0.25">
      <c r="A55" s="233"/>
      <c r="B55" s="153"/>
      <c r="C55" s="153"/>
      <c r="D55" s="153"/>
    </row>
    <row r="56" spans="1:4" x14ac:dyDescent="0.25">
      <c r="A56" s="153"/>
      <c r="B56" s="153"/>
      <c r="C56" s="153"/>
    </row>
    <row r="57" spans="1:4" x14ac:dyDescent="0.25">
      <c r="A57" s="153"/>
      <c r="B57" s="148"/>
      <c r="C57" s="148"/>
    </row>
    <row r="58" spans="1:4" x14ac:dyDescent="0.25">
      <c r="A58" s="153"/>
      <c r="B58" s="153"/>
      <c r="C58" s="153"/>
    </row>
    <row r="59" spans="1:4" x14ac:dyDescent="0.25">
      <c r="A59" s="153"/>
      <c r="B59" s="153"/>
      <c r="C59" s="153"/>
    </row>
    <row r="60" spans="1:4" x14ac:dyDescent="0.25">
      <c r="A60" s="153"/>
      <c r="B60" s="153"/>
      <c r="C60" s="153"/>
    </row>
    <row r="61" spans="1:4" x14ac:dyDescent="0.25">
      <c r="A61" s="153"/>
      <c r="B61" s="153"/>
      <c r="C61" s="153"/>
    </row>
    <row r="62" spans="1:4" x14ac:dyDescent="0.25">
      <c r="A62" s="153"/>
      <c r="B62" s="153"/>
      <c r="C62" s="153"/>
    </row>
    <row r="63" spans="1:4" x14ac:dyDescent="0.25">
      <c r="A63" s="153"/>
      <c r="B63" s="153"/>
      <c r="C63" s="153"/>
    </row>
    <row r="64" spans="1:4" x14ac:dyDescent="0.25">
      <c r="A64" s="153"/>
      <c r="B64" s="153"/>
      <c r="C64" s="153"/>
    </row>
    <row r="65" spans="1:3" x14ac:dyDescent="0.25">
      <c r="A65" s="153"/>
      <c r="B65" s="153"/>
      <c r="C65" s="153"/>
    </row>
    <row r="66" spans="1:3" x14ac:dyDescent="0.25">
      <c r="A66" s="153"/>
      <c r="B66" s="153"/>
      <c r="C66" s="153"/>
    </row>
    <row r="67" spans="1:3" x14ac:dyDescent="0.25">
      <c r="A67" s="153"/>
      <c r="B67" s="153"/>
      <c r="C67" s="153"/>
    </row>
    <row r="68" spans="1:3" x14ac:dyDescent="0.25">
      <c r="A68" s="153"/>
      <c r="B68" s="153"/>
      <c r="C68" s="153"/>
    </row>
    <row r="69" spans="1:3" x14ac:dyDescent="0.25">
      <c r="A69" s="153"/>
      <c r="B69" s="153"/>
      <c r="C69" s="153"/>
    </row>
    <row r="70" spans="1:3" x14ac:dyDescent="0.25">
      <c r="A70" s="153"/>
      <c r="B70" s="153"/>
      <c r="C70" s="153"/>
    </row>
  </sheetData>
  <sheetProtection selectLockedCells="1" selectUnlockedCells="1"/>
  <mergeCells count="20">
    <mergeCell ref="A27:B27"/>
    <mergeCell ref="A16:C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34:B34"/>
    <mergeCell ref="A36:B36"/>
    <mergeCell ref="A28:B28"/>
    <mergeCell ref="A29:B29"/>
    <mergeCell ref="A30:B30"/>
    <mergeCell ref="A31:B31"/>
    <mergeCell ref="A32:B32"/>
    <mergeCell ref="A33:B33"/>
  </mergeCells>
  <dataValidations count="4">
    <dataValidation type="list" allowBlank="1" showInputMessage="1" showErrorMessage="1" sqref="C27">
      <formula1>$I$3:$I$21</formula1>
    </dataValidation>
    <dataValidation type="list" allowBlank="1" showInputMessage="1" showErrorMessage="1" sqref="C29">
      <formula1>$F$29:$F$30</formula1>
    </dataValidation>
    <dataValidation type="list" allowBlank="1" showInputMessage="1" showErrorMessage="1" sqref="C12">
      <formula1>$H$3:$H$5</formula1>
    </dataValidation>
    <dataValidation type="list" allowBlank="1" showInputMessage="1" showErrorMessage="1" sqref="C23">
      <formula1>$E$22:$E$25</formula1>
    </dataValidation>
  </dataValidations>
  <printOptions horizontalCentered="1"/>
  <pageMargins left="0.74803149606299213" right="0.6692913385826772" top="0.98425196850393704" bottom="0.98425196850393704" header="0.51181102362204722" footer="0.51181102362204722"/>
  <pageSetup paperSize="9" scale="84" orientation="portrait" r:id="rId1"/>
  <headerFooter alignWithMargins="0">
    <oddHeader xml:space="preserve">&amp;RFICHA DE AVALIAÇÃO DO VALOR DE TERRENO (FAVT)
2. Prédio/Terreno Alterado
 </oddHeader>
    <oddFooter>&amp;LNOTA:
Validade: 30 dias. Findo esse prazo a CMP desobriga-se de qualquer compromisso.
Concretização e conclusão através de Contrato, com suporte de Certidão Matricial e Certificado de Aproveitamento Urbanístico (Planta/Croqui de Localização)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opLeftCell="A4" zoomScale="90" zoomScaleNormal="90" zoomScaleSheetLayoutView="90" workbookViewId="0">
      <selection activeCell="H9" sqref="H9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3320312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5546875" style="1" customWidth="1"/>
    <col min="9" max="9" width="5" style="1" customWidth="1"/>
    <col min="10" max="10" width="9.109375" style="344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236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6.350000000000001" customHeight="1" x14ac:dyDescent="0.3">
      <c r="C7" s="183"/>
      <c r="H7" s="371" t="str">
        <f>+'1_FAVT_1_Ori'!C9</f>
        <v/>
      </c>
    </row>
    <row r="8" spans="1:21" ht="16.350000000000001" customHeight="1" thickBot="1" x14ac:dyDescent="0.35">
      <c r="C8" s="183"/>
    </row>
    <row r="9" spans="1:21" ht="16.350000000000001" customHeight="1" thickBot="1" x14ac:dyDescent="0.4">
      <c r="A9" s="48">
        <v>1</v>
      </c>
      <c r="B9" s="358" t="s">
        <v>474</v>
      </c>
      <c r="C9" s="183" t="s">
        <v>488</v>
      </c>
      <c r="E9" s="310">
        <f>IF(B9="x",'1_FAVT_1_Ori'!C42,"")</f>
        <v>2245200.0000000005</v>
      </c>
    </row>
    <row r="10" spans="1:21" ht="16.350000000000001" hidden="1" customHeight="1" x14ac:dyDescent="0.35">
      <c r="A10" s="48"/>
      <c r="B10" s="409"/>
      <c r="C10" s="183"/>
      <c r="D10" s="361" t="s">
        <v>464</v>
      </c>
      <c r="E10" s="366">
        <f>IF(E9="","",'1_FAVT_1_Ori'!B47)</f>
        <v>73730</v>
      </c>
    </row>
    <row r="11" spans="1:21" ht="16.350000000000001" customHeight="1" thickBot="1" x14ac:dyDescent="0.35">
      <c r="A11" s="48"/>
      <c r="C11" s="183"/>
    </row>
    <row r="12" spans="1:21" ht="16.350000000000001" customHeight="1" thickBot="1" x14ac:dyDescent="0.4">
      <c r="A12" s="48">
        <v>2</v>
      </c>
      <c r="B12" s="358" t="s">
        <v>474</v>
      </c>
      <c r="C12" s="183" t="s">
        <v>489</v>
      </c>
      <c r="E12" s="310">
        <f>IF(B12="x",'2_FAVT_2_Alt'!C42,"")</f>
        <v>5436696</v>
      </c>
    </row>
    <row r="13" spans="1:21" ht="16.350000000000001" hidden="1" customHeight="1" x14ac:dyDescent="0.35">
      <c r="A13" s="48"/>
      <c r="B13" s="409"/>
      <c r="C13" s="183"/>
      <c r="D13" s="361" t="s">
        <v>464</v>
      </c>
      <c r="E13" s="366">
        <f>IF(E12="","",'2_FAVT_2_Alt'!B47)</f>
        <v>153517.4</v>
      </c>
    </row>
    <row r="14" spans="1:21" ht="16.350000000000001" customHeight="1" thickBot="1" x14ac:dyDescent="0.35">
      <c r="A14" s="48"/>
      <c r="C14" s="183"/>
    </row>
    <row r="15" spans="1:21" s="76" customFormat="1" ht="16.350000000000001" customHeight="1" thickBot="1" x14ac:dyDescent="0.4">
      <c r="A15" s="408">
        <v>3</v>
      </c>
      <c r="B15" s="358" t="s">
        <v>474</v>
      </c>
      <c r="C15" s="183" t="s">
        <v>463</v>
      </c>
      <c r="E15" s="310">
        <f>IF(B15="x",'3_AHV e MU'!D11,"")</f>
        <v>3191496</v>
      </c>
      <c r="F15" s="238"/>
      <c r="G15" s="239"/>
      <c r="H15" s="240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</row>
    <row r="16" spans="1:21" ht="14.85" customHeight="1" x14ac:dyDescent="0.3">
      <c r="A16" s="48"/>
      <c r="B16" s="126"/>
      <c r="D16" s="361" t="s">
        <v>464</v>
      </c>
      <c r="E16" s="366">
        <f>IF(E15="","",'3_AHV e MU'!D24)</f>
        <v>49515</v>
      </c>
      <c r="F16" s="194"/>
      <c r="G16" s="244" t="s">
        <v>398</v>
      </c>
      <c r="H16" s="242">
        <f>'1_FAVT_1_Ori'!C19</f>
        <v>250</v>
      </c>
      <c r="I16" s="126" t="s">
        <v>438</v>
      </c>
    </row>
    <row r="17" spans="1:10" ht="14.85" customHeight="1" thickBot="1" x14ac:dyDescent="0.35">
      <c r="A17" s="48"/>
      <c r="C17" s="253"/>
      <c r="D17" s="253"/>
      <c r="E17" s="367"/>
      <c r="F17" s="194"/>
      <c r="G17" s="244" t="s">
        <v>399</v>
      </c>
      <c r="H17" s="242">
        <f>'2_FAVT_2_Alt'!C19</f>
        <v>250</v>
      </c>
    </row>
    <row r="18" spans="1:10" ht="16.350000000000001" customHeight="1" thickBot="1" x14ac:dyDescent="0.4">
      <c r="A18" s="48" t="s">
        <v>487</v>
      </c>
      <c r="B18" s="358" t="s">
        <v>474</v>
      </c>
      <c r="C18" s="362" t="s">
        <v>442</v>
      </c>
      <c r="E18" s="309">
        <f>IF(B18="x",'3_AHV e MU'!E16,"")</f>
        <v>0</v>
      </c>
      <c r="F18" s="194"/>
      <c r="G18" s="256" t="s">
        <v>406</v>
      </c>
      <c r="H18" s="261">
        <f>H17-H16</f>
        <v>0</v>
      </c>
    </row>
    <row r="19" spans="1:10" ht="14.85" customHeight="1" thickBot="1" x14ac:dyDescent="0.35">
      <c r="A19" s="48"/>
      <c r="G19" s="257" t="s">
        <v>400</v>
      </c>
      <c r="H19" s="258" t="str">
        <f>'1_FAVT_1_Ori'!C27</f>
        <v>Misto (Habitação + Terciário/Com-Serv)</v>
      </c>
      <c r="I19" s="370" t="str">
        <f>VLOOKUP(H19,Factor4_Uso!$AB$6:$AD$23,3,0)</f>
        <v>M</v>
      </c>
    </row>
    <row r="20" spans="1:10" ht="16.350000000000001" customHeight="1" thickBot="1" x14ac:dyDescent="0.4">
      <c r="A20" s="48" t="s">
        <v>486</v>
      </c>
      <c r="B20" s="358" t="s">
        <v>474</v>
      </c>
      <c r="C20" s="183" t="s">
        <v>483</v>
      </c>
      <c r="E20" s="255">
        <f>IF(B20="x",'3a_AH'!E18,"")</f>
        <v>0</v>
      </c>
      <c r="G20" s="259" t="s">
        <v>401</v>
      </c>
      <c r="H20" s="260" t="str">
        <f>'2_FAVT_2_Alt'!C27</f>
        <v>Misto (Habitação + Terciário/Com-Serv)</v>
      </c>
      <c r="I20" s="370" t="str">
        <f>VLOOKUP(H20,Factor4_Uso!$AB$6:$AD$23,3,0)</f>
        <v>M</v>
      </c>
    </row>
    <row r="21" spans="1:10" ht="14.85" customHeight="1" x14ac:dyDescent="0.3">
      <c r="A21" s="48"/>
      <c r="B21" s="126"/>
      <c r="D21" s="361" t="s">
        <v>464</v>
      </c>
      <c r="E21" s="366" t="str">
        <f>IF(E20="","",'3a_AH'!D24)</f>
        <v/>
      </c>
      <c r="G21" s="246" t="s">
        <v>402</v>
      </c>
      <c r="H21" s="243">
        <f>'1_FAVT_1_Ori'!C24</f>
        <v>5</v>
      </c>
    </row>
    <row r="22" spans="1:10" ht="14.85" customHeight="1" x14ac:dyDescent="0.3">
      <c r="A22" s="48"/>
      <c r="C22" s="1" t="s">
        <v>484</v>
      </c>
      <c r="E22" s="194"/>
      <c r="G22" s="246" t="s">
        <v>403</v>
      </c>
      <c r="H22" s="243">
        <f>'2_FAVT_2_Alt'!C24</f>
        <v>6</v>
      </c>
    </row>
    <row r="23" spans="1:10" ht="16.350000000000001" customHeight="1" thickBot="1" x14ac:dyDescent="0.35">
      <c r="A23" s="48"/>
      <c r="G23" s="256" t="s">
        <v>407</v>
      </c>
      <c r="H23" s="261">
        <f>H22-H21</f>
        <v>1</v>
      </c>
    </row>
    <row r="24" spans="1:10" ht="16.350000000000001" customHeight="1" thickBot="1" x14ac:dyDescent="0.4">
      <c r="A24" s="48">
        <v>4</v>
      </c>
      <c r="B24" s="358" t="s">
        <v>474</v>
      </c>
      <c r="C24" s="183" t="s">
        <v>466</v>
      </c>
      <c r="D24" s="254"/>
      <c r="E24" s="310">
        <f>IF(B24="x",'4_AV e MU'!D11,"")</f>
        <v>3191496</v>
      </c>
      <c r="F24" s="181"/>
      <c r="G24" s="257" t="s">
        <v>414</v>
      </c>
      <c r="H24" s="368">
        <f>'1_FAVT_1_Ori'!C19</f>
        <v>250</v>
      </c>
    </row>
    <row r="25" spans="1:10" ht="16.2" thickBot="1" x14ac:dyDescent="0.35">
      <c r="A25" s="48"/>
      <c r="B25" s="194"/>
      <c r="C25" s="363"/>
      <c r="D25" s="194"/>
      <c r="F25" s="152"/>
      <c r="G25" s="257" t="s">
        <v>415</v>
      </c>
      <c r="H25" s="368">
        <f>'2_FAVT_2_Alt'!C19</f>
        <v>250</v>
      </c>
    </row>
    <row r="26" spans="1:10" ht="16.350000000000001" customHeight="1" thickBot="1" x14ac:dyDescent="0.4">
      <c r="A26" s="48">
        <v>5</v>
      </c>
      <c r="B26" s="358" t="s">
        <v>474</v>
      </c>
      <c r="C26" s="183" t="s">
        <v>467</v>
      </c>
      <c r="D26" s="76"/>
      <c r="E26" s="255">
        <f>IF(B26="x",'5_ACob e AVer'!E8,"")</f>
        <v>0</v>
      </c>
      <c r="F26" s="152"/>
      <c r="G26" s="25" t="s">
        <v>444</v>
      </c>
      <c r="H26" s="369">
        <f>ABS(H25-H24)</f>
        <v>0</v>
      </c>
      <c r="J26" s="344" t="str">
        <f>'1_FAVT_1_Ori'!C9</f>
        <v/>
      </c>
    </row>
    <row r="27" spans="1:10" ht="15" thickBot="1" x14ac:dyDescent="0.35">
      <c r="A27" s="48"/>
      <c r="B27" s="194"/>
      <c r="C27" s="247"/>
      <c r="D27" s="364"/>
      <c r="E27" s="142"/>
      <c r="F27" s="142"/>
      <c r="G27" s="244" t="s">
        <v>446</v>
      </c>
      <c r="H27" s="242">
        <f>'1_FAVT_1_Ori'!C21</f>
        <v>30</v>
      </c>
      <c r="J27" s="344" t="str">
        <f>'1_FAVT_1_Ori'!C11</f>
        <v>Palmarejo</v>
      </c>
    </row>
    <row r="28" spans="1:10" ht="16.350000000000001" customHeight="1" thickBot="1" x14ac:dyDescent="0.4">
      <c r="A28" s="48" t="s">
        <v>485</v>
      </c>
      <c r="B28" s="358" t="s">
        <v>474</v>
      </c>
      <c r="C28" s="183" t="s">
        <v>468</v>
      </c>
      <c r="E28" s="255">
        <f>IF(B28="x",'5_ACob e AVer'!E17,"")</f>
        <v>0</v>
      </c>
      <c r="F28" s="142"/>
      <c r="G28" s="244" t="s">
        <v>447</v>
      </c>
      <c r="H28" s="242">
        <f>'2_FAVT_2_Alt'!C21</f>
        <v>30</v>
      </c>
      <c r="J28" s="344" t="str">
        <f>'2_FAVT_2_Alt'!C11</f>
        <v>Palmarejo</v>
      </c>
    </row>
    <row r="29" spans="1:10" ht="15" thickBot="1" x14ac:dyDescent="0.35">
      <c r="A29" s="48"/>
      <c r="B29" s="194"/>
      <c r="C29" s="247"/>
      <c r="D29" s="207"/>
      <c r="E29" s="142"/>
      <c r="F29" s="142"/>
      <c r="G29" s="256" t="s">
        <v>444</v>
      </c>
      <c r="H29" s="261">
        <f>ABS(H28-H27)</f>
        <v>0</v>
      </c>
    </row>
    <row r="30" spans="1:10" ht="16.350000000000001" customHeight="1" thickBot="1" x14ac:dyDescent="0.4">
      <c r="A30" s="48">
        <v>6</v>
      </c>
      <c r="B30" s="358" t="s">
        <v>474</v>
      </c>
      <c r="C30" s="183" t="s">
        <v>472</v>
      </c>
      <c r="D30" s="338"/>
      <c r="E30" s="255">
        <f>+'6_Estaciona'!E8</f>
        <v>0</v>
      </c>
      <c r="F30" s="142"/>
      <c r="G30" s="1" t="s">
        <v>473</v>
      </c>
      <c r="H30" s="1">
        <f>+'6_Estaciona'!E14</f>
        <v>0</v>
      </c>
    </row>
    <row r="31" spans="1:10" x14ac:dyDescent="0.3">
      <c r="B31" s="194"/>
      <c r="C31" s="365"/>
      <c r="D31" s="194"/>
      <c r="E31" s="142"/>
      <c r="F31" s="142"/>
    </row>
    <row r="32" spans="1:10" x14ac:dyDescent="0.3">
      <c r="B32" s="194"/>
      <c r="C32" s="235"/>
      <c r="D32" s="207"/>
      <c r="E32" s="142"/>
      <c r="F32" s="142"/>
    </row>
    <row r="33" spans="2:6" ht="15" thickBot="1" x14ac:dyDescent="0.35">
      <c r="B33" s="194"/>
      <c r="C33" s="153"/>
      <c r="D33" s="153"/>
      <c r="E33" s="142"/>
      <c r="F33" s="142"/>
    </row>
    <row r="34" spans="2:6" ht="16.2" thickBot="1" x14ac:dyDescent="0.35">
      <c r="C34" s="142"/>
      <c r="D34" s="254" t="s">
        <v>420</v>
      </c>
      <c r="E34" s="255"/>
      <c r="F34" s="182"/>
    </row>
    <row r="35" spans="2:6" s="344" customFormat="1" x14ac:dyDescent="0.3"/>
    <row r="36" spans="2:6" s="344" customFormat="1" x14ac:dyDescent="0.3">
      <c r="B36" s="345"/>
    </row>
    <row r="37" spans="2:6" s="344" customFormat="1" hidden="1" x14ac:dyDescent="0.3">
      <c r="C37" s="346" t="s">
        <v>410</v>
      </c>
      <c r="D37" s="347">
        <v>15200</v>
      </c>
    </row>
    <row r="38" spans="2:6" s="344" customFormat="1" hidden="1" x14ac:dyDescent="0.3">
      <c r="C38" s="346" t="s">
        <v>411</v>
      </c>
      <c r="D38" s="347">
        <v>24700</v>
      </c>
    </row>
    <row r="39" spans="2:6" s="344" customFormat="1" hidden="1" x14ac:dyDescent="0.3">
      <c r="C39" s="346" t="s">
        <v>412</v>
      </c>
      <c r="D39" s="347">
        <v>11000</v>
      </c>
    </row>
    <row r="40" spans="2:6" s="344" customFormat="1" hidden="1" x14ac:dyDescent="0.3"/>
    <row r="41" spans="2:6" s="344" customFormat="1" hidden="1" x14ac:dyDescent="0.3"/>
    <row r="42" spans="2:6" s="344" customFormat="1" ht="16.2" hidden="1" thickBot="1" x14ac:dyDescent="0.35">
      <c r="D42" s="357" t="e">
        <f>ABS(IF((D17-D16=0),+H17*0.05*'2_FAVT_2_Alt'!C37,D17-D16))</f>
        <v>#VALUE!</v>
      </c>
    </row>
    <row r="43" spans="2:6" s="344" customFormat="1" x14ac:dyDescent="0.3"/>
    <row r="44" spans="2:6" s="344" customFormat="1" x14ac:dyDescent="0.3">
      <c r="B44" s="344" t="s">
        <v>474</v>
      </c>
    </row>
    <row r="45" spans="2:6" s="344" customFormat="1" x14ac:dyDescent="0.3"/>
    <row r="46" spans="2:6" s="344" customFormat="1" x14ac:dyDescent="0.3"/>
    <row r="47" spans="2:6" s="344" customFormat="1" x14ac:dyDescent="0.3"/>
    <row r="48" spans="2:6" s="344" customFormat="1" x14ac:dyDescent="0.3"/>
    <row r="49" s="344" customFormat="1" x14ac:dyDescent="0.3"/>
    <row r="50" s="344" customFormat="1" x14ac:dyDescent="0.3"/>
  </sheetData>
  <dataValidations count="1">
    <dataValidation type="list" allowBlank="1" showInputMessage="1" showErrorMessage="1" sqref="B15 B18 B20 B24 B26 B28 B30 B9:B10 B12:B13">
      <formula1>$B$43:$B$44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Resumo Alterações</oddHeader>
    <oddFooter>&amp;LNOTA:
Validade: 30 dias. Findo esse prazo a CMP desobriga-se de qualquer compromisso.
Concretização e conclusão através de Contrato, com suporte de Certidão Matricial e Certificado de Aproveitamento Urbanístico (Planta/Croqui de Localização)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="90" zoomScaleNormal="90" zoomScaleSheetLayoutView="90" workbookViewId="0">
      <selection activeCell="E18" sqref="E18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3320312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6640625" style="1" customWidth="1"/>
    <col min="9" max="9" width="5" style="1" customWidth="1"/>
    <col min="10" max="10" width="9.109375" style="344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236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6.350000000000001" customHeight="1" thickBot="1" x14ac:dyDescent="0.4">
      <c r="B7" s="358" t="str">
        <f>IF(H11&lt;&gt;0,"x","")</f>
        <v/>
      </c>
      <c r="C7" s="183" t="s">
        <v>397</v>
      </c>
    </row>
    <row r="8" spans="1:21" s="76" customFormat="1" ht="16.350000000000001" customHeight="1" thickBot="1" x14ac:dyDescent="0.4">
      <c r="B8" s="358" t="str">
        <f>IF(D11&lt;&gt;0,"x","")</f>
        <v>x</v>
      </c>
      <c r="C8" s="183" t="s">
        <v>459</v>
      </c>
      <c r="F8" s="238"/>
      <c r="G8" s="239"/>
      <c r="H8" s="240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</row>
    <row r="9" spans="1:21" ht="14.85" customHeight="1" thickBot="1" x14ac:dyDescent="0.35">
      <c r="C9" s="253" t="s">
        <v>416</v>
      </c>
      <c r="D9" s="316">
        <f>CEILING('1_FAVT_1_Ori'!C42,1)</f>
        <v>2245200</v>
      </c>
      <c r="F9" s="194"/>
      <c r="G9" s="244" t="s">
        <v>398</v>
      </c>
      <c r="H9" s="242">
        <f>'1_FAVT_1_Ori'!C19</f>
        <v>250</v>
      </c>
      <c r="I9" s="126" t="s">
        <v>438</v>
      </c>
    </row>
    <row r="10" spans="1:21" ht="14.85" customHeight="1" thickBot="1" x14ac:dyDescent="0.35">
      <c r="C10" s="253" t="s">
        <v>417</v>
      </c>
      <c r="D10" s="316">
        <f>CEILING('2_FAVT_2_Alt'!C42,1)</f>
        <v>5436696</v>
      </c>
      <c r="F10" s="194"/>
      <c r="G10" s="244" t="s">
        <v>399</v>
      </c>
      <c r="H10" s="242">
        <f>'2_FAVT_2_Alt'!C19</f>
        <v>250</v>
      </c>
    </row>
    <row r="11" spans="1:21" ht="16.350000000000001" customHeight="1" thickBot="1" x14ac:dyDescent="0.35">
      <c r="C11" s="306" t="s">
        <v>437</v>
      </c>
      <c r="D11" s="310">
        <f>ABS(D10-D9)</f>
        <v>3191496</v>
      </c>
      <c r="F11" s="194"/>
      <c r="G11" s="256" t="s">
        <v>406</v>
      </c>
      <c r="H11" s="261">
        <f>H10-H9</f>
        <v>0</v>
      </c>
    </row>
    <row r="12" spans="1:21" ht="14.85" customHeight="1" x14ac:dyDescent="0.3">
      <c r="C12" s="1" t="s">
        <v>443</v>
      </c>
      <c r="G12" s="257" t="s">
        <v>400</v>
      </c>
      <c r="H12" s="258" t="str">
        <f>'1_FAVT_1_Ori'!C27</f>
        <v>Misto (Habitação + Terciário/Com-Serv)</v>
      </c>
      <c r="I12" s="370" t="str">
        <f>VLOOKUP(H12,Factor4_Uso!$AB$6:$AD$23,3,0)</f>
        <v>M</v>
      </c>
    </row>
    <row r="13" spans="1:21" ht="14.85" customHeight="1" x14ac:dyDescent="0.3">
      <c r="B13" s="249"/>
      <c r="C13" s="1" t="s">
        <v>405</v>
      </c>
      <c r="G13" s="259" t="s">
        <v>401</v>
      </c>
      <c r="H13" s="260" t="str">
        <f>'2_FAVT_2_Alt'!C27</f>
        <v>Misto (Habitação + Terciário/Com-Serv)</v>
      </c>
      <c r="I13" s="370" t="str">
        <f>VLOOKUP(H13,Factor4_Uso!$AB$6:$AD$23,3,0)</f>
        <v>M</v>
      </c>
    </row>
    <row r="14" spans="1:21" ht="14.85" customHeight="1" x14ac:dyDescent="0.3">
      <c r="C14" s="1" t="s">
        <v>418</v>
      </c>
      <c r="G14" s="246" t="s">
        <v>402</v>
      </c>
      <c r="H14" s="243">
        <f>'1_FAVT_1_Ori'!C24</f>
        <v>5</v>
      </c>
    </row>
    <row r="15" spans="1:21" ht="14.85" customHeight="1" thickBot="1" x14ac:dyDescent="0.35">
      <c r="G15" s="246" t="s">
        <v>403</v>
      </c>
      <c r="H15" s="243">
        <f>'2_FAVT_2_Alt'!C24</f>
        <v>6</v>
      </c>
    </row>
    <row r="16" spans="1:21" ht="16.350000000000001" customHeight="1" thickBot="1" x14ac:dyDescent="0.4">
      <c r="B16" s="358" t="str">
        <f>IF(E16&lt;&gt;0,"x","")</f>
        <v/>
      </c>
      <c r="C16" s="307" t="s">
        <v>442</v>
      </c>
      <c r="E16" s="309">
        <f>'4_AV e MU'!E17</f>
        <v>0</v>
      </c>
      <c r="G16" s="256" t="s">
        <v>407</v>
      </c>
      <c r="H16" s="261">
        <f>H15-H14</f>
        <v>1</v>
      </c>
    </row>
    <row r="17" spans="2:10" ht="14.85" customHeight="1" thickBot="1" x14ac:dyDescent="0.35">
      <c r="D17" s="254"/>
      <c r="F17" s="181"/>
    </row>
    <row r="18" spans="2:10" ht="16.2" thickBot="1" x14ac:dyDescent="0.35">
      <c r="C18" s="307" t="s">
        <v>441</v>
      </c>
      <c r="E18" s="255">
        <f>CEILING(D11+E16,1)</f>
        <v>3191496</v>
      </c>
      <c r="F18" s="152"/>
    </row>
    <row r="19" spans="2:10" x14ac:dyDescent="0.3">
      <c r="C19" s="165" t="s">
        <v>254</v>
      </c>
      <c r="D19" s="166"/>
      <c r="E19" s="152"/>
      <c r="F19" s="152"/>
      <c r="G19" s="308" t="s">
        <v>440</v>
      </c>
      <c r="H19" s="1">
        <f>+'4_AV e MU'!E18</f>
        <v>0.1</v>
      </c>
      <c r="J19" s="344" t="str">
        <f>'1_FAVT_1_Ori'!C9</f>
        <v/>
      </c>
    </row>
    <row r="20" spans="2:10" x14ac:dyDescent="0.3">
      <c r="B20" s="428" t="s">
        <v>410</v>
      </c>
      <c r="C20" s="429"/>
      <c r="D20" s="275">
        <f>IF(B20=C30,D30,IF(B20=C31,D31,IF(B20=C32,D32)))</f>
        <v>15200</v>
      </c>
      <c r="E20" s="142"/>
      <c r="F20" s="142"/>
      <c r="G20" s="1" t="s">
        <v>146</v>
      </c>
      <c r="H20" s="305" t="str">
        <f>+'4_AV e MU'!E19</f>
        <v>Palmarejo</v>
      </c>
      <c r="J20" s="344" t="str">
        <f>'1_FAVT_1_Ori'!C11</f>
        <v>Palmarejo</v>
      </c>
    </row>
    <row r="21" spans="2:10" x14ac:dyDescent="0.3">
      <c r="C21" s="156" t="s">
        <v>408</v>
      </c>
      <c r="D21" s="155">
        <v>2400</v>
      </c>
      <c r="E21" s="142"/>
      <c r="F21" s="142"/>
      <c r="G21" s="304" t="s">
        <v>435</v>
      </c>
      <c r="H21" s="1">
        <f>+'4_AV e MU'!E20</f>
        <v>6000</v>
      </c>
    </row>
    <row r="22" spans="2:10" x14ac:dyDescent="0.3">
      <c r="C22" s="156" t="s">
        <v>409</v>
      </c>
      <c r="D22" s="155">
        <f>0.01*E18</f>
        <v>31914.959999999999</v>
      </c>
      <c r="E22" s="142"/>
      <c r="F22" s="142"/>
      <c r="G22" s="304" t="s">
        <v>436</v>
      </c>
      <c r="H22" s="1">
        <f>+'4_AV e MU'!E21</f>
        <v>220</v>
      </c>
    </row>
    <row r="23" spans="2:10" x14ac:dyDescent="0.3">
      <c r="C23" s="156" t="s">
        <v>393</v>
      </c>
      <c r="D23" s="155">
        <f>E16*0.015</f>
        <v>0</v>
      </c>
      <c r="E23" s="142"/>
      <c r="F23" s="142"/>
    </row>
    <row r="24" spans="2:10" x14ac:dyDescent="0.3">
      <c r="C24" s="266" t="s">
        <v>255</v>
      </c>
      <c r="D24" s="263">
        <f>IF(E18=0,"",CEILING(SUM(D20:D23),1))</f>
        <v>49515</v>
      </c>
      <c r="E24" s="142"/>
      <c r="F24" s="142"/>
    </row>
    <row r="25" spans="2:10" x14ac:dyDescent="0.3">
      <c r="C25" s="168"/>
      <c r="D25" s="167"/>
      <c r="E25" s="142"/>
      <c r="F25" s="142"/>
    </row>
    <row r="26" spans="2:10" ht="15" thickBot="1" x14ac:dyDescent="0.35">
      <c r="C26" s="142"/>
      <c r="D26" s="142"/>
      <c r="E26" s="142"/>
      <c r="F26" s="142"/>
    </row>
    <row r="27" spans="2:10" ht="16.2" thickBot="1" x14ac:dyDescent="0.35">
      <c r="C27" s="142"/>
      <c r="D27" s="254" t="s">
        <v>420</v>
      </c>
      <c r="E27" s="255">
        <f>CEILING(D23+D24+E16,1)</f>
        <v>49515</v>
      </c>
      <c r="F27" s="182"/>
    </row>
    <row r="28" spans="2:10" s="344" customFormat="1" x14ac:dyDescent="0.3"/>
    <row r="29" spans="2:10" s="344" customFormat="1" x14ac:dyDescent="0.3">
      <c r="B29" s="345"/>
    </row>
    <row r="30" spans="2:10" s="344" customFormat="1" hidden="1" x14ac:dyDescent="0.3">
      <c r="C30" s="346" t="s">
        <v>410</v>
      </c>
      <c r="D30" s="347">
        <v>15200</v>
      </c>
    </row>
    <row r="31" spans="2:10" s="344" customFormat="1" hidden="1" x14ac:dyDescent="0.3">
      <c r="C31" s="346" t="s">
        <v>411</v>
      </c>
      <c r="D31" s="347">
        <v>24700</v>
      </c>
    </row>
    <row r="32" spans="2:10" s="344" customFormat="1" hidden="1" x14ac:dyDescent="0.3">
      <c r="C32" s="346" t="s">
        <v>412</v>
      </c>
      <c r="D32" s="347">
        <v>11000</v>
      </c>
    </row>
    <row r="33" spans="4:4" s="344" customFormat="1" hidden="1" x14ac:dyDescent="0.3"/>
    <row r="34" spans="4:4" s="344" customFormat="1" ht="15" hidden="1" thickBot="1" x14ac:dyDescent="0.35"/>
    <row r="35" spans="4:4" s="344" customFormat="1" ht="16.2" hidden="1" thickBot="1" x14ac:dyDescent="0.35">
      <c r="D35" s="357">
        <f>ABS(IF((D10-D9=0),+H10*0.05*'2_FAVT_2_Alt'!C37,D10-D9))</f>
        <v>3191496</v>
      </c>
    </row>
    <row r="36" spans="4:4" s="344" customFormat="1" x14ac:dyDescent="0.3"/>
    <row r="37" spans="4:4" s="344" customFormat="1" x14ac:dyDescent="0.3"/>
    <row r="38" spans="4:4" s="344" customFormat="1" x14ac:dyDescent="0.3"/>
    <row r="39" spans="4:4" s="344" customFormat="1" x14ac:dyDescent="0.3"/>
    <row r="40" spans="4:4" s="344" customFormat="1" x14ac:dyDescent="0.3"/>
    <row r="41" spans="4:4" s="344" customFormat="1" x14ac:dyDescent="0.3"/>
    <row r="42" spans="4:4" s="344" customFormat="1" x14ac:dyDescent="0.3"/>
    <row r="43" spans="4:4" s="344" customFormat="1" x14ac:dyDescent="0.3"/>
  </sheetData>
  <mergeCells count="1">
    <mergeCell ref="B20:C20"/>
  </mergeCells>
  <dataValidations disablePrompts="1" count="1">
    <dataValidation type="list" allowBlank="1" showInputMessage="1" showErrorMessage="1" sqref="B20:C20">
      <formula1>$C$30:$C$32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3. Ampliação Horizontal
(Vertical e Mudança de Uso)</oddHeader>
    <oddFooter>&amp;LNOTA:
Validade: 30 dias. Findo esse prazo a CMP desobriga-se de qualquer compromisso.
Concretização e conclusão através de Contrato, com suporte de Certidão Matricial e Certificado de Aproveitamento Urbanístico (Planta/Croqui de Localização)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="90" zoomScaleNormal="90" zoomScaleSheetLayoutView="90" workbookViewId="0">
      <selection activeCell="D24" sqref="D24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3320312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6640625" style="1" customWidth="1"/>
    <col min="9" max="9" width="5" style="1" customWidth="1"/>
    <col min="10" max="10" width="9.109375" style="344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236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6.350000000000001" customHeight="1" thickBot="1" x14ac:dyDescent="0.35">
      <c r="C7" s="183"/>
    </row>
    <row r="8" spans="1:21" s="76" customFormat="1" ht="16.350000000000001" customHeight="1" thickBot="1" x14ac:dyDescent="0.4">
      <c r="B8" s="358" t="str">
        <f>IF(E18&lt;&gt;0,"x","")</f>
        <v/>
      </c>
      <c r="C8" s="183" t="s">
        <v>397</v>
      </c>
      <c r="E8" s="1"/>
      <c r="F8" s="238"/>
      <c r="G8" s="239"/>
      <c r="H8" s="240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</row>
    <row r="9" spans="1:21" ht="14.85" customHeight="1" x14ac:dyDescent="0.3">
      <c r="C9" s="1" t="s">
        <v>146</v>
      </c>
      <c r="D9" s="313" t="str">
        <f>+'4_AV e MU'!E19</f>
        <v>Palmarejo</v>
      </c>
      <c r="E9" s="256"/>
      <c r="F9" s="194"/>
      <c r="G9" s="244" t="s">
        <v>398</v>
      </c>
      <c r="H9" s="242">
        <f>'1_FAVT_1_Ori'!C19</f>
        <v>250</v>
      </c>
      <c r="I9" s="126" t="s">
        <v>438</v>
      </c>
    </row>
    <row r="10" spans="1:21" ht="14.85" customHeight="1" x14ac:dyDescent="0.3">
      <c r="C10" s="1" t="s">
        <v>52</v>
      </c>
      <c r="E10" s="341" t="s">
        <v>448</v>
      </c>
      <c r="F10" s="194"/>
      <c r="G10" s="244" t="s">
        <v>399</v>
      </c>
      <c r="H10" s="242">
        <f>'2_FAVT_2_Alt'!C19</f>
        <v>250</v>
      </c>
    </row>
    <row r="11" spans="1:21" ht="16.350000000000001" customHeight="1" x14ac:dyDescent="0.3">
      <c r="C11" s="304" t="s">
        <v>435</v>
      </c>
      <c r="E11" s="256">
        <f>IF(E10=J12,z_Cálculo!C4,IF(E10=J13,z_Cálculo!C5,IF(E10=J14,z_Cálculo!C6)))</f>
        <v>6000</v>
      </c>
      <c r="F11" s="194"/>
      <c r="G11" s="256" t="s">
        <v>406</v>
      </c>
      <c r="H11" s="261">
        <f>H10-H9</f>
        <v>0</v>
      </c>
    </row>
    <row r="12" spans="1:21" ht="14.85" customHeight="1" x14ac:dyDescent="0.3">
      <c r="C12" s="304" t="s">
        <v>436</v>
      </c>
      <c r="E12" s="314">
        <f>IF(E13="",H11,E13)</f>
        <v>0</v>
      </c>
      <c r="G12" s="257"/>
      <c r="H12" s="258"/>
      <c r="I12" s="302"/>
      <c r="J12" s="344" t="s">
        <v>448</v>
      </c>
    </row>
    <row r="13" spans="1:21" ht="14.85" customHeight="1" x14ac:dyDescent="0.3">
      <c r="B13" s="249"/>
      <c r="C13" s="1" t="s">
        <v>451</v>
      </c>
      <c r="E13" s="25"/>
      <c r="G13" s="259"/>
      <c r="H13" s="260"/>
      <c r="I13" s="302"/>
      <c r="J13" s="344" t="s">
        <v>449</v>
      </c>
    </row>
    <row r="14" spans="1:21" ht="14.85" customHeight="1" x14ac:dyDescent="0.3">
      <c r="G14" s="259"/>
      <c r="H14" s="260"/>
      <c r="J14" s="344" t="s">
        <v>450</v>
      </c>
    </row>
    <row r="15" spans="1:21" ht="14.85" customHeight="1" x14ac:dyDescent="0.3">
      <c r="C15" s="1" t="s">
        <v>443</v>
      </c>
      <c r="G15" s="259"/>
      <c r="H15" s="260"/>
    </row>
    <row r="16" spans="1:21" ht="16.350000000000001" customHeight="1" x14ac:dyDescent="0.3">
      <c r="C16" s="1" t="s">
        <v>462</v>
      </c>
      <c r="G16" s="259"/>
      <c r="H16" s="260"/>
    </row>
    <row r="17" spans="2:10" ht="14.85" customHeight="1" thickBot="1" x14ac:dyDescent="0.35">
      <c r="D17" s="254"/>
      <c r="F17" s="181"/>
      <c r="G17" s="259"/>
      <c r="H17" s="260"/>
    </row>
    <row r="18" spans="2:10" ht="16.2" thickBot="1" x14ac:dyDescent="0.35">
      <c r="C18" s="307" t="s">
        <v>441</v>
      </c>
      <c r="E18" s="255">
        <f>CEILING(E11*E12,1)</f>
        <v>0</v>
      </c>
      <c r="F18" s="152"/>
    </row>
    <row r="19" spans="2:10" x14ac:dyDescent="0.3">
      <c r="C19" s="165" t="s">
        <v>254</v>
      </c>
      <c r="D19" s="166"/>
      <c r="E19" s="152"/>
      <c r="F19" s="152"/>
      <c r="G19" s="308"/>
      <c r="J19" s="344" t="str">
        <f>'1_FAVT_1_Ori'!C9</f>
        <v/>
      </c>
    </row>
    <row r="20" spans="2:10" x14ac:dyDescent="0.3">
      <c r="B20" s="428" t="s">
        <v>410</v>
      </c>
      <c r="C20" s="429"/>
      <c r="D20" s="275">
        <f>IF(B20=C30,D30,IF(B20=C31,D31,IF(B20=C32,D32)))</f>
        <v>15200</v>
      </c>
      <c r="E20" s="142"/>
      <c r="F20" s="142"/>
      <c r="J20" s="344" t="str">
        <f>'1_FAVT_1_Ori'!C11</f>
        <v>Palmarejo</v>
      </c>
    </row>
    <row r="21" spans="2:10" x14ac:dyDescent="0.3">
      <c r="C21" s="156" t="s">
        <v>408</v>
      </c>
      <c r="D21" s="155">
        <v>2400</v>
      </c>
      <c r="E21" s="142"/>
      <c r="F21" s="142"/>
    </row>
    <row r="22" spans="2:10" x14ac:dyDescent="0.3">
      <c r="C22" s="156" t="s">
        <v>409</v>
      </c>
      <c r="D22" s="155">
        <f>0.01*E18</f>
        <v>0</v>
      </c>
      <c r="E22" s="142"/>
      <c r="F22" s="142"/>
    </row>
    <row r="23" spans="2:10" x14ac:dyDescent="0.3">
      <c r="C23" s="156" t="s">
        <v>393</v>
      </c>
      <c r="D23" s="155">
        <f>E16*0.015</f>
        <v>0</v>
      </c>
      <c r="E23" s="142"/>
      <c r="F23" s="142"/>
    </row>
    <row r="24" spans="2:10" x14ac:dyDescent="0.3">
      <c r="C24" s="266" t="s">
        <v>255</v>
      </c>
      <c r="D24" s="263" t="str">
        <f>IF(E18=0,"",CEILING(SUM(D20:D23),1))</f>
        <v/>
      </c>
      <c r="E24" s="142"/>
      <c r="F24" s="142"/>
    </row>
    <row r="25" spans="2:10" x14ac:dyDescent="0.3">
      <c r="C25" s="168"/>
      <c r="D25" s="167"/>
      <c r="E25" s="142"/>
      <c r="F25" s="142"/>
    </row>
    <row r="26" spans="2:10" ht="15" thickBot="1" x14ac:dyDescent="0.35">
      <c r="C26" s="142"/>
      <c r="D26" s="142"/>
      <c r="E26" s="142"/>
      <c r="F26" s="142"/>
    </row>
    <row r="27" spans="2:10" ht="16.2" thickBot="1" x14ac:dyDescent="0.35">
      <c r="C27" s="142"/>
      <c r="D27" s="254" t="s">
        <v>420</v>
      </c>
      <c r="E27" s="255" t="str">
        <f>IF(E18=0,"",CEILING(D23+D24+E16,1))</f>
        <v/>
      </c>
      <c r="F27" s="182"/>
    </row>
    <row r="28" spans="2:10" s="344" customFormat="1" x14ac:dyDescent="0.3"/>
    <row r="29" spans="2:10" s="344" customFormat="1" x14ac:dyDescent="0.3">
      <c r="B29" s="345"/>
    </row>
    <row r="30" spans="2:10" s="344" customFormat="1" hidden="1" x14ac:dyDescent="0.3">
      <c r="C30" s="346" t="s">
        <v>410</v>
      </c>
      <c r="D30" s="347">
        <v>15200</v>
      </c>
    </row>
    <row r="31" spans="2:10" s="344" customFormat="1" hidden="1" x14ac:dyDescent="0.3">
      <c r="C31" s="346" t="s">
        <v>411</v>
      </c>
      <c r="D31" s="347">
        <v>24700</v>
      </c>
    </row>
    <row r="32" spans="2:10" s="344" customFormat="1" hidden="1" x14ac:dyDescent="0.3">
      <c r="C32" s="346" t="s">
        <v>412</v>
      </c>
      <c r="D32" s="347">
        <v>11000</v>
      </c>
    </row>
    <row r="33" s="344" customFormat="1" x14ac:dyDescent="0.3"/>
    <row r="34" s="344" customFormat="1" x14ac:dyDescent="0.3"/>
    <row r="35" s="344" customFormat="1" x14ac:dyDescent="0.3"/>
    <row r="36" s="344" customFormat="1" x14ac:dyDescent="0.3"/>
    <row r="37" s="344" customFormat="1" x14ac:dyDescent="0.3"/>
    <row r="38" s="344" customFormat="1" x14ac:dyDescent="0.3"/>
    <row r="39" s="344" customFormat="1" x14ac:dyDescent="0.3"/>
    <row r="40" s="344" customFormat="1" x14ac:dyDescent="0.3"/>
    <row r="41" s="344" customFormat="1" x14ac:dyDescent="0.3"/>
    <row r="42" s="344" customFormat="1" x14ac:dyDescent="0.3"/>
    <row r="43" s="344" customFormat="1" x14ac:dyDescent="0.3"/>
  </sheetData>
  <mergeCells count="1">
    <mergeCell ref="B20:C20"/>
  </mergeCells>
  <dataValidations disablePrompts="1" count="2">
    <dataValidation type="list" allowBlank="1" showInputMessage="1" showErrorMessage="1" sqref="B20:C20">
      <formula1>$C$30:$C$32</formula1>
    </dataValidation>
    <dataValidation type="list" allowBlank="1" showInputMessage="1" showErrorMessage="1" sqref="E10">
      <formula1>$J$12:$J$14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3a. Ampliação Horizontal
(parâmetros urbanísticos de referência)</oddHeader>
    <oddFooter>&amp;LNOTA:
Validade: 30 dias. Findo esse prazo a CMP desobriga-se de qualquer compromisso.
Concretização e conclusão através de pagamento e actualização de Documentos: Matriz e Certificado de Aproveitamento Urbanístico (Planta/Croqui de Localização)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="90" zoomScaleNormal="90" zoomScaleSheetLayoutView="90" workbookViewId="0">
      <selection activeCell="I13" sqref="I13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3320312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6640625" style="1" customWidth="1"/>
    <col min="9" max="9" width="5" style="301" customWidth="1"/>
    <col min="10" max="10" width="9.109375" style="344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I2" s="29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I3" s="29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300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5" thickBot="1" x14ac:dyDescent="0.35"/>
    <row r="8" spans="1:21" s="76" customFormat="1" ht="16.350000000000001" customHeight="1" thickBot="1" x14ac:dyDescent="0.4">
      <c r="B8" s="358" t="str">
        <f>IF(D11&lt;&gt;0,"x","")</f>
        <v>x</v>
      </c>
      <c r="C8" s="337" t="s">
        <v>465</v>
      </c>
      <c r="F8" s="238"/>
      <c r="G8" s="239"/>
      <c r="H8" s="240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</row>
    <row r="9" spans="1:21" ht="14.85" customHeight="1" thickBot="1" x14ac:dyDescent="0.35">
      <c r="C9" s="308" t="s">
        <v>416</v>
      </c>
      <c r="D9" s="315">
        <f>CEILING('1_FAVT_1_Ori'!C42,1)</f>
        <v>2245200</v>
      </c>
      <c r="F9" s="194"/>
      <c r="G9" s="244" t="s">
        <v>398</v>
      </c>
      <c r="H9" s="242">
        <f>'1_FAVT_1_Ori'!C19</f>
        <v>250</v>
      </c>
      <c r="I9" s="126" t="s">
        <v>438</v>
      </c>
    </row>
    <row r="10" spans="1:21" ht="14.85" customHeight="1" thickBot="1" x14ac:dyDescent="0.35">
      <c r="C10" s="308" t="s">
        <v>417</v>
      </c>
      <c r="D10" s="315">
        <f>CEILING('2_FAVT_2_Alt'!C42,1)</f>
        <v>5436696</v>
      </c>
      <c r="F10" s="194"/>
      <c r="G10" s="244" t="s">
        <v>399</v>
      </c>
      <c r="H10" s="242">
        <f>'2_FAVT_2_Alt'!C19</f>
        <v>250</v>
      </c>
    </row>
    <row r="11" spans="1:21" ht="16.350000000000001" customHeight="1" thickBot="1" x14ac:dyDescent="0.35">
      <c r="C11" s="306" t="s">
        <v>437</v>
      </c>
      <c r="D11" s="310">
        <f>ABS(CEILING(D10-D9,1))</f>
        <v>3191496</v>
      </c>
      <c r="F11" s="194"/>
      <c r="G11" s="256" t="s">
        <v>406</v>
      </c>
      <c r="H11" s="261">
        <f>+H10-H9</f>
        <v>0</v>
      </c>
    </row>
    <row r="12" spans="1:21" ht="14.85" customHeight="1" x14ac:dyDescent="0.3">
      <c r="C12" s="1" t="s">
        <v>439</v>
      </c>
      <c r="G12" s="267" t="s">
        <v>400</v>
      </c>
      <c r="H12" s="258" t="str">
        <f>'1_FAVT_1_Ori'!C27</f>
        <v>Misto (Habitação + Terciário/Com-Serv)</v>
      </c>
      <c r="I12" s="126" t="str">
        <f>VLOOKUP(H12,Factor4_Uso!$AB$6:$AD$23,3,0)</f>
        <v>M</v>
      </c>
    </row>
    <row r="13" spans="1:21" ht="14.85" customHeight="1" x14ac:dyDescent="0.3">
      <c r="G13" s="268" t="s">
        <v>401</v>
      </c>
      <c r="H13" s="260" t="str">
        <f>'2_FAVT_2_Alt'!C27</f>
        <v>Misto (Habitação + Terciário/Com-Serv)</v>
      </c>
      <c r="I13" s="126" t="str">
        <f>VLOOKUP(H13,Factor4_Uso!$AB$6:$AD$23,3,0)</f>
        <v>M</v>
      </c>
      <c r="J13" s="356" t="str">
        <f>IF(I12&lt;&gt;I13,0,"")</f>
        <v/>
      </c>
    </row>
    <row r="14" spans="1:21" ht="14.85" customHeight="1" x14ac:dyDescent="0.3">
      <c r="G14" s="246" t="s">
        <v>402</v>
      </c>
      <c r="H14" s="243">
        <f>'1_FAVT_1_Ori'!C24</f>
        <v>5</v>
      </c>
    </row>
    <row r="15" spans="1:21" ht="14.85" customHeight="1" x14ac:dyDescent="0.3">
      <c r="G15" s="246" t="s">
        <v>403</v>
      </c>
      <c r="H15" s="243">
        <f>'2_FAVT_2_Alt'!C24</f>
        <v>6</v>
      </c>
    </row>
    <row r="16" spans="1:21" ht="14.85" customHeight="1" thickBot="1" x14ac:dyDescent="0.35">
      <c r="G16" s="256" t="s">
        <v>407</v>
      </c>
      <c r="H16" s="261">
        <f>H15-H14</f>
        <v>1</v>
      </c>
    </row>
    <row r="17" spans="2:10" ht="16.350000000000001" customHeight="1" thickBot="1" x14ac:dyDescent="0.4">
      <c r="B17" s="358" t="str">
        <f>IF(E17&lt;&gt;0,"x","")</f>
        <v/>
      </c>
      <c r="C17" s="307" t="s">
        <v>470</v>
      </c>
      <c r="D17" s="253"/>
      <c r="E17" s="309">
        <f>IF(I12=I13,0,CEILING(E21*E20*E18,1))</f>
        <v>0</v>
      </c>
      <c r="F17" s="181"/>
    </row>
    <row r="18" spans="2:10" ht="14.85" customHeight="1" x14ac:dyDescent="0.3">
      <c r="C18" s="308" t="s">
        <v>469</v>
      </c>
      <c r="D18" s="304"/>
      <c r="E18" s="312">
        <f>VLOOKUP($I$12,Factor4_Uso!$E$6:$X$23,MATCH($I$13,Factor4_Uso!$E$5:$X$5,0),0)</f>
        <v>0.1</v>
      </c>
      <c r="F18" s="152"/>
      <c r="G18" s="244" t="s">
        <v>414</v>
      </c>
      <c r="H18" s="242">
        <f>'1_FAVT_1_Ori'!C20</f>
        <v>220</v>
      </c>
      <c r="J18" s="344" t="str">
        <f>'1_FAVT_1_Ori'!C9</f>
        <v/>
      </c>
    </row>
    <row r="19" spans="2:10" ht="14.85" customHeight="1" x14ac:dyDescent="0.3">
      <c r="C19" s="1" t="s">
        <v>146</v>
      </c>
      <c r="E19" s="313" t="str">
        <f>'2_FAVT_2_Alt'!C11</f>
        <v>Palmarejo</v>
      </c>
      <c r="F19" s="152"/>
      <c r="G19" s="244" t="s">
        <v>415</v>
      </c>
      <c r="H19" s="242">
        <f>'2_FAVT_2_Alt'!C20</f>
        <v>220</v>
      </c>
      <c r="J19" s="344" t="str">
        <f>+'1_FAVT_1_Ori'!C11</f>
        <v>Palmarejo</v>
      </c>
    </row>
    <row r="20" spans="2:10" x14ac:dyDescent="0.3">
      <c r="C20" s="304" t="s">
        <v>435</v>
      </c>
      <c r="D20" s="303"/>
      <c r="E20" s="314">
        <f>+'2_FAVT_2_Alt'!C37</f>
        <v>6000</v>
      </c>
      <c r="F20" s="142"/>
      <c r="G20" s="1" t="s">
        <v>444</v>
      </c>
      <c r="H20" s="343">
        <f>ABS(H19-H18)</f>
        <v>0</v>
      </c>
    </row>
    <row r="21" spans="2:10" x14ac:dyDescent="0.3">
      <c r="C21" s="304" t="s">
        <v>436</v>
      </c>
      <c r="D21" s="303"/>
      <c r="E21" s="314">
        <f>+H19</f>
        <v>220</v>
      </c>
      <c r="F21" s="142"/>
    </row>
    <row r="22" spans="2:10" x14ac:dyDescent="0.3">
      <c r="C22" s="1" t="s">
        <v>451</v>
      </c>
      <c r="E22" s="25"/>
      <c r="F22" s="142"/>
    </row>
    <row r="23" spans="2:10" x14ac:dyDescent="0.3">
      <c r="F23" s="142"/>
    </row>
    <row r="24" spans="2:10" x14ac:dyDescent="0.3">
      <c r="C24" s="235"/>
      <c r="D24" s="207"/>
      <c r="E24" s="142"/>
      <c r="F24" s="142"/>
    </row>
    <row r="25" spans="2:10" x14ac:dyDescent="0.3">
      <c r="C25" s="235"/>
      <c r="D25" s="207"/>
      <c r="E25" s="142"/>
      <c r="F25" s="142"/>
    </row>
    <row r="26" spans="2:10" ht="15" thickBot="1" x14ac:dyDescent="0.35">
      <c r="C26" s="153"/>
      <c r="D26" s="153"/>
      <c r="E26" s="142"/>
      <c r="F26" s="142"/>
    </row>
    <row r="27" spans="2:10" ht="16.350000000000001" customHeight="1" thickBot="1" x14ac:dyDescent="0.35">
      <c r="C27" s="142"/>
      <c r="D27" s="254" t="s">
        <v>420</v>
      </c>
      <c r="E27" s="255">
        <f>CEILING(E17+D11,1)</f>
        <v>3191496</v>
      </c>
      <c r="F27" s="182"/>
    </row>
    <row r="28" spans="2:10" s="344" customFormat="1" x14ac:dyDescent="0.3">
      <c r="I28" s="355"/>
    </row>
    <row r="29" spans="2:10" s="344" customFormat="1" x14ac:dyDescent="0.3">
      <c r="B29" s="345"/>
      <c r="I29" s="355"/>
    </row>
    <row r="30" spans="2:10" s="344" customFormat="1" x14ac:dyDescent="0.3">
      <c r="I30" s="355"/>
    </row>
    <row r="31" spans="2:10" s="344" customFormat="1" x14ac:dyDescent="0.3">
      <c r="I31" s="355"/>
    </row>
    <row r="32" spans="2:10" s="344" customFormat="1" x14ac:dyDescent="0.3">
      <c r="I32" s="355"/>
    </row>
    <row r="33" spans="9:9" s="344" customFormat="1" x14ac:dyDescent="0.3">
      <c r="I33" s="355"/>
    </row>
    <row r="34" spans="9:9" s="344" customFormat="1" x14ac:dyDescent="0.3">
      <c r="I34" s="355"/>
    </row>
    <row r="35" spans="9:9" s="344" customFormat="1" x14ac:dyDescent="0.3">
      <c r="I35" s="355"/>
    </row>
    <row r="36" spans="9:9" s="344" customFormat="1" x14ac:dyDescent="0.3">
      <c r="I36" s="355"/>
    </row>
    <row r="37" spans="9:9" s="344" customFormat="1" x14ac:dyDescent="0.3">
      <c r="I37" s="355"/>
    </row>
    <row r="38" spans="9:9" s="344" customFormat="1" x14ac:dyDescent="0.3">
      <c r="I38" s="355"/>
    </row>
    <row r="39" spans="9:9" s="344" customFormat="1" x14ac:dyDescent="0.3">
      <c r="I39" s="355"/>
    </row>
    <row r="40" spans="9:9" s="344" customFormat="1" x14ac:dyDescent="0.3">
      <c r="I40" s="355"/>
    </row>
    <row r="41" spans="9:9" s="344" customFormat="1" x14ac:dyDescent="0.3">
      <c r="I41" s="355"/>
    </row>
    <row r="42" spans="9:9" s="344" customFormat="1" x14ac:dyDescent="0.3">
      <c r="I42" s="355"/>
    </row>
    <row r="43" spans="9:9" s="344" customFormat="1" x14ac:dyDescent="0.3">
      <c r="I43" s="35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4. Ampliação Vertical e/ou Mudança de Uso</oddHeader>
    <oddFooter>&amp;LNOTA:
Validade: 30 dias. Findo esse prazo a CMP desobriga-se de qualquer compromisso.
Concretização e conclusão através de pagamento e actualização de Documentos: Matriz e Certificado de Aproveitamento Urbanístico (Planta/Croqui de Localização)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="90" zoomScaleNormal="90" zoomScaleSheetLayoutView="90" workbookViewId="0">
      <selection activeCell="B12" sqref="B12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8867187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6640625" style="1" customWidth="1"/>
    <col min="9" max="9" width="5" style="1" customWidth="1"/>
    <col min="10" max="10" width="9.109375" style="344" hidden="1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236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5" thickBot="1" x14ac:dyDescent="0.35"/>
    <row r="8" spans="1:21" s="76" customFormat="1" ht="16.350000000000001" customHeight="1" thickBot="1" x14ac:dyDescent="0.4">
      <c r="B8" s="358" t="str">
        <f>IF(E8&lt;&gt;0,"x","")</f>
        <v/>
      </c>
      <c r="C8" s="183" t="s">
        <v>413</v>
      </c>
      <c r="E8" s="255">
        <f>CEILING(E11*E12,1)</f>
        <v>0</v>
      </c>
      <c r="F8" s="238"/>
      <c r="G8" s="239"/>
      <c r="H8" s="240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</row>
    <row r="9" spans="1:21" ht="15.6" x14ac:dyDescent="0.3">
      <c r="C9" s="1" t="s">
        <v>146</v>
      </c>
      <c r="D9" s="324" t="str">
        <f>+'1_FAVT_1_Ori'!C11</f>
        <v>Palmarejo</v>
      </c>
      <c r="E9" s="256"/>
      <c r="F9" s="194"/>
      <c r="G9" s="244" t="s">
        <v>414</v>
      </c>
      <c r="H9" s="242">
        <f>'1_FAVT_1_Ori'!C20</f>
        <v>220</v>
      </c>
    </row>
    <row r="10" spans="1:21" x14ac:dyDescent="0.3">
      <c r="C10" s="1" t="s">
        <v>481</v>
      </c>
      <c r="E10" s="341" t="s">
        <v>449</v>
      </c>
      <c r="F10" s="194"/>
      <c r="G10" s="244" t="s">
        <v>415</v>
      </c>
      <c r="H10" s="242">
        <f>'2_FAVT_2_Alt'!C20</f>
        <v>220</v>
      </c>
    </row>
    <row r="11" spans="1:21" ht="15.6" x14ac:dyDescent="0.3">
      <c r="C11" s="308" t="s">
        <v>445</v>
      </c>
      <c r="D11" s="182"/>
      <c r="E11" s="256">
        <f>IF(E10=J12,z_Cálculo!C4,IF(E10=J13,z_Cálculo!C5,IF(E10=J14,z_Cálculo!C6)))</f>
        <v>4500</v>
      </c>
      <c r="F11" s="194"/>
      <c r="G11" s="1" t="s">
        <v>444</v>
      </c>
      <c r="H11" s="343">
        <f>ABS(H10-H9)</f>
        <v>0</v>
      </c>
      <c r="J11" s="344">
        <f>+H10-H9</f>
        <v>0</v>
      </c>
    </row>
    <row r="12" spans="1:21" x14ac:dyDescent="0.3">
      <c r="C12" s="304" t="s">
        <v>436</v>
      </c>
      <c r="D12" s="317"/>
      <c r="E12" s="314">
        <f>IF(E13="",H11,E13)</f>
        <v>0</v>
      </c>
      <c r="J12" s="344" t="s">
        <v>448</v>
      </c>
    </row>
    <row r="13" spans="1:21" x14ac:dyDescent="0.3">
      <c r="C13" s="1" t="s">
        <v>451</v>
      </c>
      <c r="J13" s="344" t="s">
        <v>449</v>
      </c>
    </row>
    <row r="14" spans="1:21" x14ac:dyDescent="0.3">
      <c r="G14" s="244" t="s">
        <v>446</v>
      </c>
      <c r="H14" s="242">
        <f>'1_FAVT_1_Ori'!C21</f>
        <v>30</v>
      </c>
      <c r="J14" s="344" t="s">
        <v>450</v>
      </c>
    </row>
    <row r="15" spans="1:21" ht="16.350000000000001" customHeight="1" x14ac:dyDescent="0.3">
      <c r="G15" s="244" t="s">
        <v>447</v>
      </c>
      <c r="H15" s="242">
        <f>'2_FAVT_2_Alt'!C21</f>
        <v>30</v>
      </c>
    </row>
    <row r="16" spans="1:21" ht="15" thickBot="1" x14ac:dyDescent="0.35">
      <c r="G16" s="1" t="s">
        <v>444</v>
      </c>
      <c r="H16" s="343">
        <f>ABS(H15-H14)</f>
        <v>0</v>
      </c>
    </row>
    <row r="17" spans="2:8" ht="16.350000000000001" customHeight="1" thickBot="1" x14ac:dyDescent="0.4">
      <c r="B17" s="358" t="str">
        <f>IF(E17&lt;&gt;0,"x","")</f>
        <v/>
      </c>
      <c r="C17" s="183" t="s">
        <v>471</v>
      </c>
      <c r="E17" s="255">
        <f>CEILING(E20*E21,1)</f>
        <v>0</v>
      </c>
      <c r="F17" s="181"/>
      <c r="G17" s="245"/>
      <c r="H17" s="241"/>
    </row>
    <row r="18" spans="2:8" x14ac:dyDescent="0.3">
      <c r="C18" s="1" t="s">
        <v>146</v>
      </c>
      <c r="D18" s="256" t="str">
        <f>+D9</f>
        <v>Palmarejo</v>
      </c>
      <c r="E18" s="256"/>
      <c r="F18" s="152"/>
    </row>
    <row r="19" spans="2:8" x14ac:dyDescent="0.3">
      <c r="C19" s="1" t="s">
        <v>482</v>
      </c>
      <c r="E19" s="341" t="s">
        <v>450</v>
      </c>
      <c r="F19" s="152"/>
    </row>
    <row r="20" spans="2:8" x14ac:dyDescent="0.3">
      <c r="C20" s="308" t="s">
        <v>445</v>
      </c>
      <c r="D20" s="248"/>
      <c r="E20" s="327">
        <f>IF(E19=J12,z_Cálculo!C4,IF(E19=J13,z_Cálculo!C5,IF(E19=J14,z_Cálculo!C6)))</f>
        <v>4500</v>
      </c>
      <c r="F20" s="142"/>
    </row>
    <row r="21" spans="2:8" ht="16.350000000000001" customHeight="1" x14ac:dyDescent="0.3">
      <c r="C21" s="304" t="s">
        <v>436</v>
      </c>
      <c r="D21" s="206"/>
      <c r="E21" s="314">
        <f>IF(E22="",H16,E22)</f>
        <v>0</v>
      </c>
      <c r="F21" s="328"/>
      <c r="G21" s="328"/>
    </row>
    <row r="22" spans="2:8" x14ac:dyDescent="0.3">
      <c r="C22" s="1" t="s">
        <v>451</v>
      </c>
      <c r="D22" s="207"/>
      <c r="E22" s="142"/>
      <c r="F22" s="142"/>
    </row>
    <row r="23" spans="2:8" x14ac:dyDescent="0.3">
      <c r="C23" s="247"/>
      <c r="D23" s="207"/>
      <c r="E23" s="142"/>
      <c r="F23" s="142"/>
    </row>
    <row r="24" spans="2:8" x14ac:dyDescent="0.3">
      <c r="D24" s="207"/>
      <c r="E24" s="142"/>
      <c r="F24" s="142"/>
    </row>
    <row r="25" spans="2:8" x14ac:dyDescent="0.3">
      <c r="C25" s="1" t="s">
        <v>404</v>
      </c>
      <c r="D25" s="207"/>
      <c r="E25" s="142"/>
      <c r="F25" s="142"/>
    </row>
    <row r="26" spans="2:8" ht="15" thickBot="1" x14ac:dyDescent="0.35">
      <c r="C26" s="153"/>
      <c r="D26" s="153"/>
      <c r="E26" s="142"/>
      <c r="F26" s="142"/>
    </row>
    <row r="27" spans="2:8" ht="16.2" thickBot="1" x14ac:dyDescent="0.35">
      <c r="C27" s="142"/>
      <c r="D27" s="254" t="s">
        <v>420</v>
      </c>
      <c r="E27" s="255">
        <f>CEILING(E17+E8,1)</f>
        <v>0</v>
      </c>
      <c r="F27" s="182"/>
    </row>
    <row r="28" spans="2:8" s="344" customFormat="1" x14ac:dyDescent="0.3"/>
    <row r="29" spans="2:8" s="344" customFormat="1" x14ac:dyDescent="0.3">
      <c r="B29" s="345"/>
    </row>
    <row r="30" spans="2:8" s="344" customFormat="1" x14ac:dyDescent="0.3"/>
    <row r="31" spans="2:8" s="344" customFormat="1" x14ac:dyDescent="0.3"/>
    <row r="32" spans="2:8" s="344" customFormat="1" x14ac:dyDescent="0.3"/>
    <row r="33" s="344" customFormat="1" x14ac:dyDescent="0.3"/>
    <row r="34" s="344" customFormat="1" x14ac:dyDescent="0.3"/>
    <row r="35" s="344" customFormat="1" x14ac:dyDescent="0.3"/>
    <row r="36" s="344" customFormat="1" x14ac:dyDescent="0.3"/>
    <row r="37" s="344" customFormat="1" x14ac:dyDescent="0.3"/>
    <row r="38" s="344" customFormat="1" x14ac:dyDescent="0.3"/>
    <row r="39" s="344" customFormat="1" x14ac:dyDescent="0.3"/>
    <row r="40" s="344" customFormat="1" x14ac:dyDescent="0.3"/>
    <row r="41" s="344" customFormat="1" x14ac:dyDescent="0.3"/>
    <row r="42" s="344" customFormat="1" x14ac:dyDescent="0.3"/>
    <row r="43" s="344" customFormat="1" x14ac:dyDescent="0.3"/>
  </sheetData>
  <phoneticPr fontId="20" type="noConversion"/>
  <dataValidations count="1">
    <dataValidation type="list" allowBlank="1" showInputMessage="1" showErrorMessage="1" sqref="E10 E19">
      <formula1>$J$12:$J$14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5. Ampliação Área Coberta e/ou Ampliação Área Verde/Descoberta</oddHeader>
    <oddFooter>&amp;LNOTA:
Validade: 30 dias. Findo esse prazo a CMP desobriga-se de qualquer compromisso.
Concretização e conclusão através de pagamento e actualização de Documentos: Matriz e Certificado de Aproveitamento Urbanístico (Planta/Croqui de Localização)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="90" zoomScaleNormal="90" zoomScaleSheetLayoutView="90" workbookViewId="0">
      <selection activeCell="C10" sqref="C10"/>
    </sheetView>
  </sheetViews>
  <sheetFormatPr defaultColWidth="9.109375" defaultRowHeight="14.4" x14ac:dyDescent="0.3"/>
  <cols>
    <col min="1" max="1" width="9.109375" style="1" customWidth="1"/>
    <col min="2" max="2" width="6.5546875" style="1" customWidth="1"/>
    <col min="3" max="3" width="11.6640625" style="1" customWidth="1"/>
    <col min="4" max="4" width="24.33203125" style="1" customWidth="1"/>
    <col min="5" max="5" width="16.6640625" style="1" customWidth="1"/>
    <col min="6" max="6" width="3.6640625" style="1" customWidth="1"/>
    <col min="7" max="7" width="14.33203125" style="1" bestFit="1" customWidth="1"/>
    <col min="8" max="8" width="37.6640625" style="1" customWidth="1"/>
    <col min="9" max="9" width="5" style="1" customWidth="1"/>
    <col min="10" max="10" width="0" style="344" hidden="1" customWidth="1"/>
    <col min="11" max="21" width="9.109375" style="344"/>
    <col min="22" max="16384" width="9.109375" style="1"/>
  </cols>
  <sheetData>
    <row r="1" spans="1:21" s="139" customFormat="1" ht="48" customHeight="1" x14ac:dyDescent="0.3">
      <c r="A1" s="138" t="s">
        <v>237</v>
      </c>
      <c r="C1" s="140"/>
      <c r="F1" s="211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</row>
    <row r="2" spans="1:21" s="142" customFormat="1" ht="13.2" x14ac:dyDescent="0.25">
      <c r="A2" s="141"/>
      <c r="F2" s="17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1:21" s="142" customFormat="1" ht="13.2" x14ac:dyDescent="0.25">
      <c r="A3" s="143" t="s">
        <v>382</v>
      </c>
      <c r="F3" s="179"/>
      <c r="H3" s="144" t="s">
        <v>238</v>
      </c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</row>
    <row r="4" spans="1:21" s="142" customFormat="1" thickBot="1" x14ac:dyDescent="0.35">
      <c r="A4" s="145" t="str">
        <f>+'1_FAVT_1_Ori'!A4</f>
        <v>xxx</v>
      </c>
      <c r="F4" s="179"/>
      <c r="H4" s="237">
        <f ca="1">TODAY()</f>
        <v>44945</v>
      </c>
      <c r="I4" s="236"/>
      <c r="J4" s="350"/>
      <c r="K4" s="351"/>
      <c r="L4" s="352"/>
      <c r="M4" s="354"/>
      <c r="N4" s="352"/>
      <c r="O4" s="349"/>
      <c r="P4" s="349"/>
      <c r="Q4" s="349"/>
      <c r="R4" s="349"/>
      <c r="S4" s="349"/>
      <c r="T4" s="349"/>
      <c r="U4" s="349"/>
    </row>
    <row r="5" spans="1:21" x14ac:dyDescent="0.3">
      <c r="G5" s="339" t="s">
        <v>429</v>
      </c>
      <c r="H5" s="209" t="str">
        <f>+'1_FAVT_1_Ori'!C7</f>
        <v>Versão:       FAVT V4.1   (2020-07)</v>
      </c>
    </row>
    <row r="6" spans="1:21" ht="15" thickBot="1" x14ac:dyDescent="0.35">
      <c r="G6" s="340" t="str">
        <f>+'1_FAVT_1_Ori'!B6</f>
        <v>20xxxx</v>
      </c>
      <c r="H6" s="210" t="str">
        <f>'1_FAVT_1_Ori'!C8</f>
        <v>PDM (BO 68/2016 de 7/12); Revisão Geral</v>
      </c>
    </row>
    <row r="7" spans="1:21" ht="15" thickBot="1" x14ac:dyDescent="0.35"/>
    <row r="8" spans="1:21" s="76" customFormat="1" ht="16.350000000000001" customHeight="1" thickBot="1" x14ac:dyDescent="0.4">
      <c r="B8" s="358" t="str">
        <f>IF(E8&lt;&gt;0,"x","")</f>
        <v/>
      </c>
      <c r="C8" s="337" t="s">
        <v>457</v>
      </c>
      <c r="D8" s="338"/>
      <c r="E8" s="255">
        <f>+E11*E14*E15</f>
        <v>0</v>
      </c>
      <c r="F8" s="238"/>
      <c r="G8" s="239"/>
      <c r="H8" s="240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</row>
    <row r="9" spans="1:21" ht="15.6" x14ac:dyDescent="0.3">
      <c r="C9" s="253" t="s">
        <v>146</v>
      </c>
      <c r="D9" s="324" t="str">
        <f>+'1_FAVT_1_Ori'!C11</f>
        <v>Palmarejo</v>
      </c>
      <c r="E9" s="329"/>
      <c r="F9" s="194"/>
      <c r="G9" s="245"/>
      <c r="H9" s="241"/>
    </row>
    <row r="10" spans="1:21" ht="14.25" customHeight="1" x14ac:dyDescent="0.3">
      <c r="C10" s="308" t="s">
        <v>480</v>
      </c>
      <c r="D10" s="308"/>
      <c r="E10" s="333" t="s">
        <v>449</v>
      </c>
      <c r="F10" s="194"/>
      <c r="G10" s="245"/>
      <c r="H10" s="241"/>
    </row>
    <row r="11" spans="1:21" x14ac:dyDescent="0.3">
      <c r="C11" s="308" t="s">
        <v>456</v>
      </c>
      <c r="D11" s="334"/>
      <c r="E11" s="335">
        <f>IF(E10=J12,z_Cálculo!C4,IF(E10=J13,z_Cálculo!C5,IF(E10=J14,z_Cálculo!C6)))</f>
        <v>4500</v>
      </c>
      <c r="F11" s="194"/>
      <c r="G11" s="245"/>
      <c r="H11" s="241"/>
      <c r="J11" s="344">
        <f>+H10-H9</f>
        <v>0</v>
      </c>
    </row>
    <row r="12" spans="1:21" ht="15.6" x14ac:dyDescent="0.3">
      <c r="C12" s="308" t="s">
        <v>452</v>
      </c>
      <c r="D12" s="336"/>
      <c r="E12" s="331">
        <v>1</v>
      </c>
      <c r="G12" s="245"/>
      <c r="H12" s="241"/>
      <c r="J12" s="344" t="s">
        <v>448</v>
      </c>
    </row>
    <row r="13" spans="1:21" ht="15.6" x14ac:dyDescent="0.3">
      <c r="C13" s="308" t="s">
        <v>453</v>
      </c>
      <c r="D13" s="308"/>
      <c r="E13" s="331">
        <v>1</v>
      </c>
      <c r="G13" s="245"/>
      <c r="H13" s="241"/>
      <c r="J13" s="344" t="s">
        <v>449</v>
      </c>
    </row>
    <row r="14" spans="1:21" ht="15.6" x14ac:dyDescent="0.3">
      <c r="C14" s="308" t="s">
        <v>454</v>
      </c>
      <c r="D14" s="308"/>
      <c r="E14" s="332">
        <f>IF((E12-E13&lt;=0),0,E12-E13)</f>
        <v>0</v>
      </c>
      <c r="G14" s="245"/>
      <c r="H14" s="241"/>
      <c r="J14" s="344" t="s">
        <v>450</v>
      </c>
    </row>
    <row r="15" spans="1:21" ht="16.350000000000001" customHeight="1" x14ac:dyDescent="0.3">
      <c r="C15" s="308" t="s">
        <v>455</v>
      </c>
      <c r="D15" s="308"/>
      <c r="E15" s="308">
        <f>2.5*5</f>
        <v>12.5</v>
      </c>
      <c r="G15" s="245"/>
      <c r="H15" s="241"/>
    </row>
    <row r="16" spans="1:21" x14ac:dyDescent="0.3">
      <c r="G16" s="245"/>
      <c r="H16" s="241"/>
    </row>
    <row r="17" spans="2:8" ht="16.350000000000001" customHeight="1" x14ac:dyDescent="0.3">
      <c r="C17" s="235"/>
      <c r="D17" s="207"/>
      <c r="E17" s="142"/>
      <c r="F17" s="142"/>
      <c r="G17" s="245"/>
      <c r="H17" s="241"/>
    </row>
    <row r="18" spans="2:8" x14ac:dyDescent="0.3">
      <c r="C18" s="330" t="s">
        <v>458</v>
      </c>
      <c r="D18" s="207"/>
      <c r="E18" s="142"/>
      <c r="F18" s="142"/>
    </row>
    <row r="19" spans="2:8" x14ac:dyDescent="0.3">
      <c r="C19" s="235"/>
      <c r="D19" s="207"/>
      <c r="E19" s="142"/>
      <c r="F19" s="142"/>
    </row>
    <row r="20" spans="2:8" x14ac:dyDescent="0.3">
      <c r="C20" s="235"/>
      <c r="D20" s="207"/>
      <c r="E20" s="142"/>
      <c r="F20" s="142"/>
    </row>
    <row r="21" spans="2:8" ht="16.350000000000001" customHeight="1" x14ac:dyDescent="0.3">
      <c r="C21" s="235"/>
      <c r="D21" s="207"/>
      <c r="E21" s="142"/>
      <c r="F21" s="142"/>
      <c r="G21" s="328"/>
    </row>
    <row r="22" spans="2:8" x14ac:dyDescent="0.3">
      <c r="C22" s="235"/>
      <c r="D22" s="207"/>
      <c r="E22" s="142"/>
      <c r="F22" s="142"/>
    </row>
    <row r="23" spans="2:8" x14ac:dyDescent="0.3">
      <c r="C23" s="247"/>
      <c r="D23" s="207"/>
      <c r="E23" s="142"/>
      <c r="F23" s="142"/>
    </row>
    <row r="24" spans="2:8" x14ac:dyDescent="0.3">
      <c r="D24" s="207"/>
      <c r="E24" s="142"/>
      <c r="F24" s="142"/>
    </row>
    <row r="25" spans="2:8" x14ac:dyDescent="0.3">
      <c r="D25" s="207"/>
      <c r="E25" s="142"/>
      <c r="F25" s="142"/>
    </row>
    <row r="26" spans="2:8" ht="15" thickBot="1" x14ac:dyDescent="0.35">
      <c r="C26" s="153"/>
      <c r="D26" s="153"/>
      <c r="E26" s="142"/>
      <c r="F26" s="142"/>
    </row>
    <row r="27" spans="2:8" ht="16.2" thickBot="1" x14ac:dyDescent="0.35">
      <c r="C27" s="142"/>
      <c r="D27" s="254" t="s">
        <v>420</v>
      </c>
      <c r="E27" s="255">
        <f>CEILING(E8,1)</f>
        <v>0</v>
      </c>
      <c r="F27" s="182"/>
    </row>
    <row r="28" spans="2:8" s="344" customFormat="1" x14ac:dyDescent="0.3"/>
    <row r="29" spans="2:8" s="344" customFormat="1" x14ac:dyDescent="0.3">
      <c r="B29" s="345"/>
    </row>
    <row r="30" spans="2:8" s="344" customFormat="1" x14ac:dyDescent="0.3"/>
    <row r="31" spans="2:8" s="344" customFormat="1" x14ac:dyDescent="0.3"/>
    <row r="32" spans="2:8" s="344" customFormat="1" x14ac:dyDescent="0.3"/>
    <row r="33" s="344" customFormat="1" x14ac:dyDescent="0.3"/>
    <row r="34" s="344" customFormat="1" x14ac:dyDescent="0.3"/>
    <row r="35" s="344" customFormat="1" x14ac:dyDescent="0.3"/>
    <row r="36" s="344" customFormat="1" x14ac:dyDescent="0.3"/>
    <row r="37" s="344" customFormat="1" x14ac:dyDescent="0.3"/>
    <row r="38" s="344" customFormat="1" x14ac:dyDescent="0.3"/>
    <row r="39" s="344" customFormat="1" x14ac:dyDescent="0.3"/>
    <row r="40" s="344" customFormat="1" x14ac:dyDescent="0.3"/>
    <row r="41" s="344" customFormat="1" x14ac:dyDescent="0.3"/>
    <row r="42" s="344" customFormat="1" x14ac:dyDescent="0.3"/>
    <row r="43" s="344" customFormat="1" x14ac:dyDescent="0.3"/>
  </sheetData>
  <dataValidations count="1">
    <dataValidation type="list" allowBlank="1" showInputMessage="1" showErrorMessage="1" sqref="E10">
      <formula1>$J$12:$J$14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&amp;RFICHA DE AVALIAÇÃO DE VALOR DE TERRENO (FAVT)
6. Cálculo de Estacionamento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view="pageBreakPreview" zoomScale="80" zoomScaleSheetLayoutView="80" workbookViewId="0">
      <selection activeCell="E21" sqref="E21"/>
    </sheetView>
  </sheetViews>
  <sheetFormatPr defaultRowHeight="14.4" x14ac:dyDescent="0.3"/>
  <cols>
    <col min="1" max="1" width="2.6640625" customWidth="1"/>
    <col min="2" max="2" width="28.5546875" customWidth="1"/>
    <col min="3" max="3" width="31.44140625" customWidth="1"/>
    <col min="4" max="4" width="18.88671875" customWidth="1"/>
    <col min="5" max="5" width="26.88671875" customWidth="1"/>
    <col min="6" max="6" width="20.88671875" customWidth="1"/>
    <col min="7" max="7" width="17.5546875" customWidth="1"/>
    <col min="8" max="8" width="11.44140625" customWidth="1"/>
  </cols>
  <sheetData>
    <row r="1" spans="2:7" ht="20.399999999999999" customHeight="1" x14ac:dyDescent="0.3">
      <c r="B1" s="97" t="s">
        <v>202</v>
      </c>
      <c r="C1" s="96" t="s">
        <v>146</v>
      </c>
      <c r="D1" s="86" t="s">
        <v>147</v>
      </c>
      <c r="E1" s="87" t="s">
        <v>148</v>
      </c>
    </row>
    <row r="2" spans="2:7" s="3" customFormat="1" ht="21" customHeight="1" x14ac:dyDescent="0.25">
      <c r="B2" s="117" t="str">
        <f>VLOOKUP($D$2,'PREÇO BAIRROS'!$A$5:$B$92,2,0)</f>
        <v>Praia Sul</v>
      </c>
      <c r="C2" s="84" t="str">
        <f>+'1_FAVT_1_Ori'!C11</f>
        <v>Palmarejo</v>
      </c>
      <c r="D2" s="85" t="str">
        <f>+'1_FAVT_1_Ori'!C18</f>
        <v>0307</v>
      </c>
      <c r="E2" s="88" t="str">
        <f>+'1_FAVT_1_Ori'!C28</f>
        <v>Não</v>
      </c>
    </row>
    <row r="3" spans="2:7" s="3" customFormat="1" ht="23.25" customHeight="1" x14ac:dyDescent="0.25">
      <c r="B3" s="430" t="s">
        <v>18</v>
      </c>
      <c r="C3" s="82" t="s">
        <v>380</v>
      </c>
      <c r="D3" s="83" t="str">
        <f>+'1_FAVT_1_Ori'!B12</f>
        <v>II</v>
      </c>
      <c r="E3" s="89" t="str">
        <f>IF(OR(AND(E2="Sim",E14&gt;5),AND(E2="Não",E14&gt;2)),"Proporcional","Não Proporcional")</f>
        <v>Não Proporcional</v>
      </c>
      <c r="G3" s="4"/>
    </row>
    <row r="4" spans="2:7" s="3" customFormat="1" ht="18.600000000000001" customHeight="1" x14ac:dyDescent="0.25">
      <c r="B4" s="430"/>
      <c r="C4" s="94">
        <f>VLOOKUP($D$2,'PREÇO BAIRROS'!$A$5:$G$92,MATCH($D$4,'PREÇO BAIRROS'!$A$4:$G$4,0))</f>
        <v>6000</v>
      </c>
      <c r="D4" s="84" t="str">
        <f>+'1_FAVT_1_Ori'!C12</f>
        <v>Alta</v>
      </c>
      <c r="E4" s="137" t="s">
        <v>236</v>
      </c>
      <c r="G4" s="4"/>
    </row>
    <row r="5" spans="2:7" s="3" customFormat="1" ht="19.95" customHeight="1" x14ac:dyDescent="0.25">
      <c r="B5" s="115" t="s">
        <v>201</v>
      </c>
      <c r="C5" s="84" t="str">
        <f>'1_FAVT_1_Ori'!C27</f>
        <v>Misto (Habitação + Terciário/Com-Serv)</v>
      </c>
      <c r="D5" s="114" t="str">
        <f>VLOOKUP($C$5,Factor4_Uso!$AB$6:$AD$23,3,0)</f>
        <v>M</v>
      </c>
      <c r="E5" s="84" t="str">
        <f>'1_FAVT_1_Ori'!C29</f>
        <v>Não</v>
      </c>
      <c r="F5" s="3" t="s">
        <v>150</v>
      </c>
      <c r="G5" s="4"/>
    </row>
    <row r="6" spans="2:7" s="3" customFormat="1" ht="19.95" customHeight="1" x14ac:dyDescent="0.25">
      <c r="B6" s="90" t="s">
        <v>204</v>
      </c>
      <c r="C6" s="91" t="s">
        <v>186</v>
      </c>
      <c r="D6" s="114" t="str">
        <f>VLOOKUP($C$5,Factor4_Uso!$AB$6:$AD$23,3,0)</f>
        <v>M</v>
      </c>
      <c r="E6" s="89"/>
      <c r="F6" s="3" t="s">
        <v>151</v>
      </c>
      <c r="G6" s="4"/>
    </row>
    <row r="7" spans="2:7" s="3" customFormat="1" ht="18.600000000000001" customHeight="1" x14ac:dyDescent="0.25">
      <c r="B7" s="92" t="s">
        <v>23</v>
      </c>
      <c r="C7" s="98"/>
      <c r="D7" s="99"/>
      <c r="E7" s="94">
        <f>'1_FAVT_1_Ori'!C19</f>
        <v>250</v>
      </c>
      <c r="F7" s="4"/>
      <c r="G7" s="4"/>
    </row>
    <row r="8" spans="2:7" s="3" customFormat="1" ht="18.600000000000001" customHeight="1" x14ac:dyDescent="0.25">
      <c r="B8" s="92" t="s">
        <v>20</v>
      </c>
      <c r="C8" s="131" t="s">
        <v>230</v>
      </c>
      <c r="D8" s="94">
        <f>E8/E7</f>
        <v>0.88</v>
      </c>
      <c r="E8" s="94">
        <f>'1_FAVT_1_Ori'!C20</f>
        <v>220</v>
      </c>
      <c r="F8" s="4">
        <f>(E7-E8)*C4</f>
        <v>180000</v>
      </c>
      <c r="G8" s="4"/>
    </row>
    <row r="9" spans="2:7" s="3" customFormat="1" ht="18.600000000000001" customHeight="1" x14ac:dyDescent="0.25">
      <c r="B9" s="93" t="s">
        <v>21</v>
      </c>
      <c r="C9" s="100"/>
      <c r="D9" s="101"/>
      <c r="E9" s="94">
        <f>+E7-E8</f>
        <v>30</v>
      </c>
      <c r="F9" s="4">
        <f>E9*C4</f>
        <v>180000</v>
      </c>
      <c r="G9" s="4"/>
    </row>
    <row r="10" spans="2:7" s="3" customFormat="1" ht="18.600000000000001" customHeight="1" x14ac:dyDescent="0.25">
      <c r="B10" s="92" t="s">
        <v>24</v>
      </c>
      <c r="C10" s="98"/>
      <c r="D10" s="99"/>
      <c r="E10" s="151">
        <f>'1_FAVT_1_Ori'!C25</f>
        <v>25</v>
      </c>
      <c r="F10" s="4"/>
      <c r="G10" s="4"/>
    </row>
    <row r="11" spans="2:7" s="3" customFormat="1" ht="18.600000000000001" customHeight="1" x14ac:dyDescent="0.25">
      <c r="B11" s="92" t="s">
        <v>25</v>
      </c>
      <c r="C11" s="98"/>
      <c r="D11" s="99"/>
      <c r="E11" s="151">
        <f>'1_FAVT_1_Ori'!C26</f>
        <v>10</v>
      </c>
      <c r="F11" s="4">
        <f>20*C4</f>
        <v>120000</v>
      </c>
      <c r="G11" s="4"/>
    </row>
    <row r="12" spans="2:7" s="3" customFormat="1" ht="18.600000000000001" customHeight="1" x14ac:dyDescent="0.25">
      <c r="B12" s="188" t="s">
        <v>195</v>
      </c>
      <c r="C12" s="189"/>
      <c r="D12" s="190"/>
      <c r="E12" s="191">
        <v>20</v>
      </c>
    </row>
    <row r="13" spans="2:7" s="3" customFormat="1" ht="18.600000000000001" customHeight="1" x14ac:dyDescent="0.25">
      <c r="B13" s="92" t="s">
        <v>19</v>
      </c>
      <c r="C13" s="98"/>
      <c r="D13" s="99"/>
      <c r="E13" s="151">
        <f>'1_FAVT_1_Ori'!C24</f>
        <v>5</v>
      </c>
      <c r="F13" s="4">
        <f>+E11/E13</f>
        <v>2</v>
      </c>
      <c r="G13" s="4"/>
    </row>
    <row r="14" spans="2:7" s="3" customFormat="1" ht="18.600000000000001" customHeight="1" x14ac:dyDescent="0.25">
      <c r="B14" s="93" t="s">
        <v>219</v>
      </c>
      <c r="C14" s="100"/>
      <c r="D14" s="101"/>
      <c r="E14" s="95">
        <f>$E$11/$E$13</f>
        <v>2</v>
      </c>
      <c r="F14" s="3">
        <f>+F13*2</f>
        <v>4</v>
      </c>
    </row>
    <row r="15" spans="2:7" s="3" customFormat="1" ht="18.600000000000001" customHeight="1" x14ac:dyDescent="0.25">
      <c r="B15" s="93" t="s">
        <v>389</v>
      </c>
      <c r="C15" s="100"/>
      <c r="D15" s="101"/>
      <c r="E15" s="95">
        <f>+'1_FAVT_1_Ori'!C23</f>
        <v>1</v>
      </c>
    </row>
    <row r="16" spans="2:7" s="3" customFormat="1" ht="18.600000000000001" customHeight="1" x14ac:dyDescent="0.25">
      <c r="B16" s="93" t="s">
        <v>22</v>
      </c>
      <c r="C16" s="100"/>
      <c r="D16" s="101"/>
      <c r="E16" s="95">
        <f>+E13*3</f>
        <v>15</v>
      </c>
      <c r="F16" s="226" t="s">
        <v>395</v>
      </c>
      <c r="G16" s="4"/>
    </row>
    <row r="17" spans="2:7" s="3" customFormat="1" ht="16.2" customHeight="1" x14ac:dyDescent="0.25">
      <c r="B17" s="102"/>
      <c r="E17" s="105"/>
      <c r="F17" s="185" t="s">
        <v>381</v>
      </c>
      <c r="G17" s="185" t="s">
        <v>394</v>
      </c>
    </row>
    <row r="18" spans="2:7" s="3" customFormat="1" ht="18" customHeight="1" x14ac:dyDescent="0.25">
      <c r="B18" s="106" t="s">
        <v>196</v>
      </c>
      <c r="C18" s="100"/>
      <c r="D18" s="107"/>
      <c r="E18" s="94">
        <f>IF(F18="",IF($E$13&gt;1,VLOOKUP($E$13,Factor1_H!$A$11:$E$145,5,0),0),F18)</f>
        <v>0.15</v>
      </c>
      <c r="G18" s="192">
        <f>IF($E$13&gt;1,VLOOKUP($E$13,Factor1_H!$A$11:$E$145,5,0),0)</f>
        <v>0.15</v>
      </c>
    </row>
    <row r="19" spans="2:7" s="3" customFormat="1" ht="18" customHeight="1" x14ac:dyDescent="0.25">
      <c r="B19" s="106" t="s">
        <v>197</v>
      </c>
      <c r="C19" s="100"/>
      <c r="D19" s="107"/>
      <c r="E19" s="94">
        <f>IF(F19="",IF(E13&gt;1,VLOOKUP($E$13,Factor2_Elev!$A$11:$D$154,4,0),0),F19)</f>
        <v>0</v>
      </c>
      <c r="G19" s="192">
        <f>IF(E13&gt;1,VLOOKUP($E$13,Factor2_Elev!$A$11:$D$154,4,0),0)</f>
        <v>0</v>
      </c>
    </row>
    <row r="20" spans="2:7" s="3" customFormat="1" ht="18" customHeight="1" x14ac:dyDescent="0.25">
      <c r="B20" s="106" t="s">
        <v>198</v>
      </c>
      <c r="C20" s="100"/>
      <c r="D20" s="107"/>
      <c r="E20" s="94">
        <f>IF(F20="",IF(OR(AND(E2="Sim",$E$14&lt;5)),VLOOKUP($E$13,Factor3_proporção!$E$30:$G$1069,3,0),AND(E2="Não",$E$14&lt;2)+VLOOKUP($E$13,Factor3_proporção!$K$30:$M$1016,3,0)),F20)</f>
        <v>0</v>
      </c>
      <c r="G20" s="192">
        <f>IF(OR(AND(E2="Sim",$E$14&lt;5)),VLOOKUP($E$13,Factor3_proporção!$E$30:$G$1069,3,0),AND(E2="Não",$E$14&lt;2)+VLOOKUP($E$13,Factor3_proporção!$K$30:$M$1016,3,0))</f>
        <v>0</v>
      </c>
    </row>
    <row r="21" spans="2:7" s="3" customFormat="1" ht="18" customHeight="1" x14ac:dyDescent="0.25">
      <c r="B21" s="106" t="s">
        <v>199</v>
      </c>
      <c r="C21" s="100"/>
      <c r="D21" s="107"/>
      <c r="E21" s="94">
        <f>IF(F21="",VLOOKUP($D$5,Factor4_Uso!$E$6:$X$23,MATCH($D$6,Factor4_Uso!$E$5:$X$5,0),0),F21)</f>
        <v>0.1</v>
      </c>
      <c r="F21" s="3" t="str">
        <f>IF('1_FAVT_1_Ori'!C9="(FAVT-MU)",'4_AV e MU'!J13,"")</f>
        <v/>
      </c>
      <c r="G21" s="192">
        <f>+VLOOKUP($D$5,Factor4_Uso!$E$6:$X$23,MATCH($D$6,Factor4_Uso!$E$5:$X$5,0),0)</f>
        <v>0.1</v>
      </c>
    </row>
    <row r="22" spans="2:7" s="3" customFormat="1" ht="18" customHeight="1" x14ac:dyDescent="0.25">
      <c r="B22" s="106" t="s">
        <v>200</v>
      </c>
      <c r="C22" s="100"/>
      <c r="D22" s="107"/>
      <c r="E22" s="94">
        <f>IF(F22="",IF(E10&lt;10,0,VLOOKUP($E$10,Factor5_infra!$B$8:$C$548,2,0)),F22)</f>
        <v>0.12</v>
      </c>
      <c r="G22" s="192">
        <f>IF(E10&lt;10,0,VLOOKUP($E$10,Factor5_infra!$B$8:$C$548,2,0))</f>
        <v>0.12</v>
      </c>
    </row>
    <row r="23" spans="2:7" s="3" customFormat="1" ht="22.5" customHeight="1" x14ac:dyDescent="0.25">
      <c r="B23" s="108"/>
      <c r="C23" s="109"/>
      <c r="D23" s="110" t="s">
        <v>228</v>
      </c>
      <c r="E23" s="134">
        <f>+(1+E18)*(1+E19)*(1+E20)*(1+E21)*(1+E22)</f>
        <v>1.4168000000000001</v>
      </c>
    </row>
    <row r="24" spans="2:7" x14ac:dyDescent="0.3">
      <c r="B24" s="111"/>
      <c r="C24" s="109"/>
      <c r="D24" s="109"/>
      <c r="E24" s="112"/>
    </row>
    <row r="25" spans="2:7" x14ac:dyDescent="0.3">
      <c r="C25" s="109"/>
      <c r="D25" s="110" t="s">
        <v>203</v>
      </c>
      <c r="E25" s="184">
        <f>E23*C4</f>
        <v>8500.8000000000011</v>
      </c>
      <c r="F25" s="184"/>
      <c r="G25" s="73"/>
    </row>
    <row r="26" spans="2:7" x14ac:dyDescent="0.3">
      <c r="C26" s="109"/>
      <c r="D26" s="110" t="s">
        <v>231</v>
      </c>
      <c r="E26" s="184">
        <f>IF(F26="",IF($E$7&lt;=200,0,IF(AND($E$7&gt;200,$E$7&lt;1000,(($D$8-0.8)*$C$4)&gt;0),(($D$8-0.8)*$C$4),IF(AND($E$7&gt;1000,(($D$8-0.4)*$C$4)&gt;0),(($D$8-0.4)*$C$4),0))),F26)</f>
        <v>479.99999999999977</v>
      </c>
      <c r="F26" s="186"/>
      <c r="G26" s="192">
        <f>+IF($E$7&lt;=200,0,IF(AND($E$7&gt;200,$E$7&lt;1000,(($D$8-0.8)*$C$4)&gt;0),(($D$8-0.8)*$C$4),IF(AND($E$7&gt;1000,(($D$8-0.4)*$C$4)&gt;0),(($D$8-0.4)*$C$4),0)))</f>
        <v>479.99999999999977</v>
      </c>
    </row>
    <row r="27" spans="2:7" x14ac:dyDescent="0.3">
      <c r="C27" s="109"/>
      <c r="D27" s="225" t="s">
        <v>385</v>
      </c>
      <c r="E27" s="184">
        <f>IF(F27="",VLOOKUP($E$15,N_Vistas!$B$3:$C$6,2,0),F27)</f>
        <v>0</v>
      </c>
      <c r="F27" s="187"/>
      <c r="G27" s="192">
        <f>VLOOKUP($E$15,N_Vistas!$B$3:$C$6,2,0)</f>
        <v>0</v>
      </c>
    </row>
    <row r="28" spans="2:7" x14ac:dyDescent="0.3">
      <c r="C28" s="109"/>
      <c r="D28" s="110" t="s">
        <v>232</v>
      </c>
      <c r="E28" s="184">
        <f>IF(F28="",E25+E26,F28)</f>
        <v>8980.8000000000011</v>
      </c>
      <c r="F28" s="132"/>
      <c r="G28" s="192">
        <f>+E25+E26</f>
        <v>8980.8000000000011</v>
      </c>
    </row>
    <row r="29" spans="2:7" x14ac:dyDescent="0.3">
      <c r="C29" s="109"/>
      <c r="D29" s="110" t="s">
        <v>390</v>
      </c>
      <c r="E29" s="184">
        <f>IF(F29="",(1+$E$27)*$E$28,F29)</f>
        <v>8980.8000000000011</v>
      </c>
      <c r="F29" s="132"/>
      <c r="G29" s="192">
        <f>+(1+$E$27)*$E$28</f>
        <v>8980.8000000000011</v>
      </c>
    </row>
    <row r="30" spans="2:7" ht="16.2" thickBot="1" x14ac:dyDescent="0.35">
      <c r="B30" s="113"/>
      <c r="C30" s="113"/>
      <c r="D30" s="133" t="s">
        <v>233</v>
      </c>
      <c r="E30" s="203">
        <f>IF(F30="",$E$29*$E$7,F30)</f>
        <v>2245200.0000000005</v>
      </c>
      <c r="F30" s="193"/>
      <c r="G30" s="192">
        <f>$E$29*$E$7</f>
        <v>2245200.0000000005</v>
      </c>
    </row>
    <row r="31" spans="2:7" x14ac:dyDescent="0.3">
      <c r="C31" s="7"/>
      <c r="D31" s="7"/>
      <c r="E31" s="1"/>
      <c r="F31" s="194"/>
    </row>
    <row r="32" spans="2:7" x14ac:dyDescent="0.3">
      <c r="B32" s="7"/>
      <c r="C32" s="7"/>
      <c r="D32" s="7"/>
      <c r="E32" s="76"/>
    </row>
    <row r="33" spans="2:6" x14ac:dyDescent="0.3">
      <c r="B33" s="7"/>
      <c r="C33" s="7"/>
      <c r="D33" s="7"/>
      <c r="E33" s="76"/>
    </row>
    <row r="37" spans="2:6" x14ac:dyDescent="0.3">
      <c r="F37" s="1">
        <f>8000000/8</f>
        <v>1000000</v>
      </c>
    </row>
    <row r="39" spans="2:6" x14ac:dyDescent="0.3">
      <c r="E39">
        <f>30000/30</f>
        <v>1000</v>
      </c>
    </row>
    <row r="41" spans="2:6" x14ac:dyDescent="0.3">
      <c r="D41" s="135"/>
      <c r="E41" s="136">
        <f>0.005</f>
        <v>5.0000000000000001E-3</v>
      </c>
    </row>
    <row r="42" spans="2:6" x14ac:dyDescent="0.3">
      <c r="D42" s="135" t="s">
        <v>229</v>
      </c>
      <c r="E42" s="135">
        <f>F25*E41*E7</f>
        <v>0</v>
      </c>
    </row>
  </sheetData>
  <mergeCells count="1">
    <mergeCell ref="B3:B4"/>
  </mergeCells>
  <conditionalFormatting sqref="E3">
    <cfRule type="cellIs" dxfId="5" priority="1" operator="equal">
      <formula>"Não Proporcional"</formula>
    </cfRule>
  </conditionalFormatting>
  <dataValidations disablePrompts="1" count="1">
    <dataValidation type="list" allowBlank="1" showInputMessage="1" showErrorMessage="1" sqref="C6">
      <formula1>#REF!</formula1>
    </dataValidation>
  </dataValidations>
  <pageMargins left="0.7" right="0.7" top="0.75" bottom="0.75" header="0.3" footer="0.3"/>
  <pageSetup paperSize="9"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view="pageBreakPreview" topLeftCell="A7" zoomScale="80" zoomScaleSheetLayoutView="80" workbookViewId="0">
      <selection activeCell="F21" sqref="F21"/>
    </sheetView>
  </sheetViews>
  <sheetFormatPr defaultRowHeight="14.4" x14ac:dyDescent="0.3"/>
  <cols>
    <col min="1" max="1" width="2.6640625" customWidth="1"/>
    <col min="2" max="2" width="28.5546875" customWidth="1"/>
    <col min="3" max="3" width="31.44140625" customWidth="1"/>
    <col min="4" max="4" width="18.88671875" customWidth="1"/>
    <col min="5" max="5" width="26.88671875" customWidth="1"/>
    <col min="6" max="6" width="20.88671875" customWidth="1"/>
    <col min="7" max="7" width="17.33203125" customWidth="1"/>
  </cols>
  <sheetData>
    <row r="1" spans="2:7" ht="20.399999999999999" customHeight="1" x14ac:dyDescent="0.3">
      <c r="B1" s="97" t="s">
        <v>202</v>
      </c>
      <c r="C1" s="96" t="s">
        <v>146</v>
      </c>
      <c r="D1" s="86" t="s">
        <v>147</v>
      </c>
      <c r="E1" s="87" t="s">
        <v>148</v>
      </c>
    </row>
    <row r="2" spans="2:7" s="3" customFormat="1" ht="21" customHeight="1" x14ac:dyDescent="0.25">
      <c r="B2" s="117" t="str">
        <f>VLOOKUP($D$2,'PREÇO BAIRROS'!$A$5:$B$92,2,0)</f>
        <v>Praia Sul</v>
      </c>
      <c r="C2" s="84" t="str">
        <f>'2_FAVT_2_Alt'!C11</f>
        <v>Palmarejo</v>
      </c>
      <c r="D2" s="85" t="str">
        <f>IF(C2="","",VLOOKUP($C$2,'PREÇO BAIRROS'!$C$5:$H$92,6,0))</f>
        <v>0307</v>
      </c>
      <c r="E2" s="88" t="str">
        <f>+'2_FAVT_2_Alt'!C28</f>
        <v>Não</v>
      </c>
    </row>
    <row r="3" spans="2:7" s="3" customFormat="1" ht="23.25" customHeight="1" x14ac:dyDescent="0.25">
      <c r="B3" s="430" t="s">
        <v>18</v>
      </c>
      <c r="C3" s="82" t="s">
        <v>380</v>
      </c>
      <c r="D3" s="83" t="str">
        <f>+'1_FAVT_1_Ori'!B12</f>
        <v>II</v>
      </c>
      <c r="E3" s="89" t="str">
        <f>IF(OR(AND(E2="Sim",E14&gt;5),AND(E2="Não",E14&gt;2)),"Proporcional","Não Proporcional")</f>
        <v>Não Proporcional</v>
      </c>
    </row>
    <row r="4" spans="2:7" s="3" customFormat="1" ht="18.600000000000001" customHeight="1" x14ac:dyDescent="0.25">
      <c r="B4" s="430"/>
      <c r="C4" s="94">
        <f>VLOOKUP($D$2,'PREÇO BAIRROS'!$A$5:$G$92,MATCH($D$4,'PREÇO BAIRROS'!$A$4:$G$4,0))</f>
        <v>6000</v>
      </c>
      <c r="D4" s="84" t="str">
        <f>+'2_FAVT_2_Alt'!C12</f>
        <v>Alta</v>
      </c>
      <c r="E4" s="137" t="s">
        <v>236</v>
      </c>
      <c r="G4" s="178"/>
    </row>
    <row r="5" spans="2:7" s="3" customFormat="1" ht="19.95" customHeight="1" x14ac:dyDescent="0.25">
      <c r="B5" s="115" t="s">
        <v>201</v>
      </c>
      <c r="C5" s="84" t="str">
        <f>'2_FAVT_2_Alt'!C27</f>
        <v>Misto (Habitação + Terciário/Com-Serv)</v>
      </c>
      <c r="D5" s="114" t="str">
        <f>VLOOKUP($C$5,Factor4_Uso!$AB$6:$AD$23,3,0)</f>
        <v>M</v>
      </c>
      <c r="E5" s="84" t="str">
        <f>'2_FAVT_2_Alt'!C29</f>
        <v>Não</v>
      </c>
      <c r="F5" s="3" t="s">
        <v>150</v>
      </c>
      <c r="G5" s="142"/>
    </row>
    <row r="6" spans="2:7" s="3" customFormat="1" ht="19.95" customHeight="1" x14ac:dyDescent="0.25">
      <c r="B6" s="90" t="s">
        <v>204</v>
      </c>
      <c r="C6" s="91" t="s">
        <v>186</v>
      </c>
      <c r="D6" s="114" t="str">
        <f>VLOOKUP($C$5,Factor4_Uso!$AB$6:$AD$23,3,0)</f>
        <v>M</v>
      </c>
      <c r="E6" s="89"/>
      <c r="F6" s="3" t="s">
        <v>151</v>
      </c>
      <c r="G6" s="142"/>
    </row>
    <row r="7" spans="2:7" s="3" customFormat="1" ht="18.600000000000001" customHeight="1" x14ac:dyDescent="0.25">
      <c r="B7" s="92" t="s">
        <v>23</v>
      </c>
      <c r="C7" s="98"/>
      <c r="D7" s="99"/>
      <c r="E7" s="94">
        <f>'2_FAVT_2_Alt'!C19</f>
        <v>250</v>
      </c>
      <c r="F7" s="4"/>
    </row>
    <row r="8" spans="2:7" s="3" customFormat="1" ht="18.600000000000001" customHeight="1" x14ac:dyDescent="0.25">
      <c r="B8" s="92" t="s">
        <v>20</v>
      </c>
      <c r="C8" s="131" t="s">
        <v>230</v>
      </c>
      <c r="D8" s="94">
        <f>E8/E7</f>
        <v>0.88</v>
      </c>
      <c r="E8" s="94">
        <f>'2_FAVT_2_Alt'!C20</f>
        <v>220</v>
      </c>
      <c r="F8" s="4">
        <f>(E7-E8)*C4</f>
        <v>180000</v>
      </c>
    </row>
    <row r="9" spans="2:7" s="3" customFormat="1" ht="18.600000000000001" customHeight="1" x14ac:dyDescent="0.25">
      <c r="B9" s="93" t="s">
        <v>21</v>
      </c>
      <c r="C9" s="100"/>
      <c r="D9" s="101"/>
      <c r="E9" s="94">
        <f>+E7-E8</f>
        <v>30</v>
      </c>
      <c r="F9" s="4">
        <f>E9*C4</f>
        <v>180000</v>
      </c>
    </row>
    <row r="10" spans="2:7" s="3" customFormat="1" ht="18.600000000000001" customHeight="1" x14ac:dyDescent="0.25">
      <c r="B10" s="92" t="s">
        <v>24</v>
      </c>
      <c r="C10" s="98"/>
      <c r="D10" s="99"/>
      <c r="E10" s="151">
        <f>'2_FAVT_2_Alt'!C25</f>
        <v>25</v>
      </c>
      <c r="F10" s="4"/>
    </row>
    <row r="11" spans="2:7" s="3" customFormat="1" ht="18.600000000000001" customHeight="1" x14ac:dyDescent="0.25">
      <c r="B11" s="92" t="s">
        <v>25</v>
      </c>
      <c r="C11" s="98"/>
      <c r="D11" s="99"/>
      <c r="E11" s="151">
        <f>'2_FAVT_2_Alt'!C26</f>
        <v>10</v>
      </c>
      <c r="F11" s="4">
        <f>20*C4</f>
        <v>120000</v>
      </c>
    </row>
    <row r="12" spans="2:7" s="3" customFormat="1" ht="18.600000000000001" customHeight="1" x14ac:dyDescent="0.25">
      <c r="B12" s="188" t="s">
        <v>195</v>
      </c>
      <c r="C12" s="189"/>
      <c r="D12" s="190"/>
      <c r="E12" s="191">
        <v>20</v>
      </c>
    </row>
    <row r="13" spans="2:7" s="3" customFormat="1" ht="18.600000000000001" customHeight="1" x14ac:dyDescent="0.25">
      <c r="B13" s="92" t="s">
        <v>19</v>
      </c>
      <c r="C13" s="98"/>
      <c r="D13" s="99"/>
      <c r="E13" s="151">
        <f>IF(AND('1_FAVT_1_Ori'!C24=1,'2_FAVT_2_Alt'!C24=2),3,'2_FAVT_2_Alt'!C24)</f>
        <v>6</v>
      </c>
      <c r="F13" s="4">
        <f>+E11/E13</f>
        <v>1.6666666666666667</v>
      </c>
      <c r="G13" s="342">
        <f>IF(AND('1_FAVT_1_Ori'!C24=1,'2_FAVT_2_Alt'!C24=2),3,'2_FAVT_2_Alt'!C24)</f>
        <v>6</v>
      </c>
    </row>
    <row r="14" spans="2:7" s="3" customFormat="1" ht="18.600000000000001" customHeight="1" x14ac:dyDescent="0.25">
      <c r="B14" s="93" t="s">
        <v>219</v>
      </c>
      <c r="C14" s="100"/>
      <c r="D14" s="101"/>
      <c r="E14" s="95">
        <f>$E$11/$E$13</f>
        <v>1.6666666666666667</v>
      </c>
      <c r="F14" s="3">
        <f>+F13*2</f>
        <v>3.3333333333333335</v>
      </c>
    </row>
    <row r="15" spans="2:7" s="3" customFormat="1" ht="18.600000000000001" customHeight="1" x14ac:dyDescent="0.25">
      <c r="B15" s="93" t="s">
        <v>389</v>
      </c>
      <c r="C15" s="100"/>
      <c r="D15" s="101"/>
      <c r="E15" s="95">
        <f>+'2_FAVT_2_Alt'!C23</f>
        <v>1</v>
      </c>
    </row>
    <row r="16" spans="2:7" s="3" customFormat="1" ht="18.600000000000001" customHeight="1" x14ac:dyDescent="0.25">
      <c r="B16" s="93" t="s">
        <v>22</v>
      </c>
      <c r="C16" s="100"/>
      <c r="D16" s="101"/>
      <c r="E16" s="95">
        <f>+E13*3</f>
        <v>18</v>
      </c>
      <c r="F16" s="226" t="s">
        <v>395</v>
      </c>
    </row>
    <row r="17" spans="2:7" s="3" customFormat="1" ht="16.2" customHeight="1" x14ac:dyDescent="0.25">
      <c r="B17" s="102"/>
      <c r="C17" s="103"/>
      <c r="D17" s="104"/>
      <c r="E17" s="105"/>
      <c r="F17" s="185" t="s">
        <v>381</v>
      </c>
      <c r="G17" s="185" t="s">
        <v>394</v>
      </c>
    </row>
    <row r="18" spans="2:7" s="3" customFormat="1" ht="18" customHeight="1" x14ac:dyDescent="0.25">
      <c r="B18" s="106" t="s">
        <v>196</v>
      </c>
      <c r="C18" s="100"/>
      <c r="D18" s="107"/>
      <c r="E18" s="94">
        <f>IF(F18="",IF($E$13&gt;1,VLOOKUP($E$13,Factor1_H!$A$11:$E$145,5,0),0),F18)</f>
        <v>0.2</v>
      </c>
      <c r="G18" s="192">
        <f>IF($E$13&gt;1,VLOOKUP($E$13,Factor1_H!$A$11:$E$145,5,0),0)</f>
        <v>0.2</v>
      </c>
    </row>
    <row r="19" spans="2:7" s="3" customFormat="1" ht="18" customHeight="1" x14ac:dyDescent="0.25">
      <c r="B19" s="106" t="s">
        <v>197</v>
      </c>
      <c r="C19" s="100"/>
      <c r="D19" s="107"/>
      <c r="E19" s="94">
        <f>IF(F19="",IF(E13&gt;1,VLOOKUP($E$13,Factor2_Elev!$A$11:$D$154,4,0),0),F19)</f>
        <v>0.14166666666666666</v>
      </c>
      <c r="G19" s="192">
        <f>IF(E13&gt;1,VLOOKUP($E$13,Factor2_Elev!$A$11:$D$154,4,0),0)</f>
        <v>0.14166666666666666</v>
      </c>
    </row>
    <row r="20" spans="2:7" s="3" customFormat="1" ht="18" customHeight="1" x14ac:dyDescent="0.25">
      <c r="B20" s="106" t="s">
        <v>198</v>
      </c>
      <c r="C20" s="100"/>
      <c r="D20" s="107"/>
      <c r="E20" s="94">
        <f>IF(F20="",IF(OR(AND(E2="Sim",$E$14&lt;5)),VLOOKUP($E$13,Factor3_proporção!$E$30:$G$1069,3,0),AND(E2="Não",$E$14&lt;2)+VLOOKUP($E$13,Factor3_proporção!$K$30:$M$1016,3,0)),F20)</f>
        <v>1.1000000000000001</v>
      </c>
      <c r="G20" s="192">
        <f>IF(OR(AND(E2="Sim",$E$14&lt;5)),VLOOKUP($E$13,Factor3_proporção!$E$30:$G$1069,3,0),AND(E2="Não",$E$14&lt;2)+VLOOKUP($E$13,Factor3_proporção!$K$30:$M$1016,3,0))</f>
        <v>1.1000000000000001</v>
      </c>
    </row>
    <row r="21" spans="2:7" s="3" customFormat="1" ht="18" customHeight="1" x14ac:dyDescent="0.25">
      <c r="B21" s="106" t="s">
        <v>199</v>
      </c>
      <c r="C21" s="100"/>
      <c r="D21" s="107"/>
      <c r="E21" s="94">
        <f>IF(F21="",VLOOKUP($D$5,Factor4_Uso!$E$6:$X$23,MATCH($D$6,Factor4_Uso!E5:$X$5,0),0),F21)</f>
        <v>0.1</v>
      </c>
      <c r="F21" s="3" t="str">
        <f>IF('2_FAVT_2_Alt'!C9="(FAVT-MU)",'4_AV e MU'!J13,"")</f>
        <v/>
      </c>
      <c r="G21" s="192">
        <f>+VLOOKUP($D$5,Factor4_Uso!$E$6:$X$23,MATCH($D$6,Factor4_Uso!$E$5:$X$5,0),0)</f>
        <v>0.1</v>
      </c>
    </row>
    <row r="22" spans="2:7" s="3" customFormat="1" ht="18" customHeight="1" x14ac:dyDescent="0.25">
      <c r="B22" s="106" t="s">
        <v>200</v>
      </c>
      <c r="C22" s="100"/>
      <c r="D22" s="107"/>
      <c r="E22" s="94">
        <f>IF(F22="",IF(E10&lt;10,0,VLOOKUP($E$10,Factor5_infra!$B$8:$C$548,2,0)),F22)</f>
        <v>0.12</v>
      </c>
      <c r="G22" s="192">
        <f>IF(E10&lt;10,0,VLOOKUP($E$10,Factor5_infra!$B$8:$C$548,2,0))</f>
        <v>0.12</v>
      </c>
    </row>
    <row r="23" spans="2:7" s="3" customFormat="1" ht="22.5" customHeight="1" x14ac:dyDescent="0.25">
      <c r="B23" s="108"/>
      <c r="C23" s="109"/>
      <c r="D23" s="110" t="s">
        <v>228</v>
      </c>
      <c r="E23" s="134">
        <f>+(1+E18)*(1+E19)*(1+E20)*(1+E21)*(1+E22)</f>
        <v>3.5444640000000001</v>
      </c>
    </row>
    <row r="24" spans="2:7" x14ac:dyDescent="0.3">
      <c r="B24" s="111"/>
      <c r="C24" s="109"/>
      <c r="D24" s="109"/>
      <c r="E24" s="112"/>
    </row>
    <row r="25" spans="2:7" x14ac:dyDescent="0.3">
      <c r="C25" s="109"/>
      <c r="D25" s="110" t="s">
        <v>203</v>
      </c>
      <c r="E25" s="184">
        <f>E23*C4</f>
        <v>21266.784</v>
      </c>
      <c r="F25" s="184"/>
      <c r="G25" s="73"/>
    </row>
    <row r="26" spans="2:7" x14ac:dyDescent="0.3">
      <c r="C26" s="109"/>
      <c r="D26" s="110" t="s">
        <v>231</v>
      </c>
      <c r="E26" s="184">
        <f>IF(F26="",IF($E$7&lt;=200,0,IF(AND($E$7&gt;200,$E$7&lt;1000,(($D$8-0.8)*$C$4)&gt;0),(($D$8-0.8)*$C$4),IF(AND($E$7&gt;1000,(($D$8-0.4)*$C$4)&gt;0),(($D$8-0.4)*$C$4),0))),F26)</f>
        <v>479.99999999999977</v>
      </c>
      <c r="F26" s="186"/>
      <c r="G26" s="192">
        <f>+IF($E$7&lt;=200,0,IF(AND($E$7&gt;200,$E$7&lt;1000,(($D$8-0.8)*$C$4)&gt;0),(($D$8-0.8)*$C$4),IF(AND($E$7&gt;1000,(($D$8-0.4)*$C$4)&gt;0),(($D$8-0.4)*$C$4),0)))</f>
        <v>479.99999999999977</v>
      </c>
    </row>
    <row r="27" spans="2:7" x14ac:dyDescent="0.3">
      <c r="C27" s="109"/>
      <c r="D27" s="225" t="s">
        <v>385</v>
      </c>
      <c r="E27" s="184">
        <f>IF(F27="",VLOOKUP($E$15,N_Vistas!$B$3:$C$6,2,0),F27)</f>
        <v>0</v>
      </c>
      <c r="F27" s="187"/>
      <c r="G27" s="192">
        <f>VLOOKUP($E$15,N_Vistas!$B$3:$C$6,2,0)</f>
        <v>0</v>
      </c>
    </row>
    <row r="28" spans="2:7" x14ac:dyDescent="0.3">
      <c r="C28" s="109"/>
      <c r="D28" s="110" t="s">
        <v>232</v>
      </c>
      <c r="E28" s="184">
        <f>IF(F28="",E25+E26,F28)</f>
        <v>21746.784</v>
      </c>
      <c r="F28" s="132"/>
      <c r="G28" s="192">
        <f>+E25+E26</f>
        <v>21746.784</v>
      </c>
    </row>
    <row r="29" spans="2:7" x14ac:dyDescent="0.3">
      <c r="C29" s="109"/>
      <c r="D29" s="110" t="s">
        <v>390</v>
      </c>
      <c r="E29" s="184">
        <f>IF(F29="",(1+$E$27)*$E$28,F29)</f>
        <v>21746.784</v>
      </c>
      <c r="F29" s="132"/>
      <c r="G29" s="192">
        <f>+(1+$E$27)*$E$28</f>
        <v>21746.784</v>
      </c>
    </row>
    <row r="30" spans="2:7" ht="16.2" thickBot="1" x14ac:dyDescent="0.35">
      <c r="B30" s="113"/>
      <c r="C30" s="113"/>
      <c r="D30" s="133" t="s">
        <v>233</v>
      </c>
      <c r="E30" s="203">
        <f>IF(F30="",$E$29*$E$7,F30)</f>
        <v>5436696</v>
      </c>
      <c r="F30" s="193"/>
      <c r="G30" s="192">
        <f>$E$29*$E$7</f>
        <v>5436696</v>
      </c>
    </row>
    <row r="31" spans="2:7" x14ac:dyDescent="0.3">
      <c r="C31" s="7"/>
      <c r="D31" s="7"/>
      <c r="E31" s="1"/>
      <c r="F31" s="194"/>
    </row>
    <row r="32" spans="2:7" x14ac:dyDescent="0.3">
      <c r="B32" s="7"/>
      <c r="C32" s="7"/>
      <c r="D32" s="7"/>
      <c r="E32" s="7"/>
    </row>
    <row r="33" spans="2:6" x14ac:dyDescent="0.3">
      <c r="B33" s="7"/>
      <c r="C33" s="7"/>
      <c r="D33" s="7"/>
      <c r="E33" s="7"/>
    </row>
    <row r="37" spans="2:6" x14ac:dyDescent="0.3">
      <c r="F37" s="1">
        <f>8000000/8</f>
        <v>1000000</v>
      </c>
    </row>
    <row r="39" spans="2:6" x14ac:dyDescent="0.3">
      <c r="E39">
        <f>30000/30</f>
        <v>1000</v>
      </c>
    </row>
    <row r="41" spans="2:6" x14ac:dyDescent="0.3">
      <c r="D41" s="135"/>
      <c r="E41" s="136">
        <f>0.005</f>
        <v>5.0000000000000001E-3</v>
      </c>
    </row>
    <row r="42" spans="2:6" x14ac:dyDescent="0.3">
      <c r="D42" s="135" t="s">
        <v>229</v>
      </c>
      <c r="E42" s="135">
        <f>F25*E41*E7</f>
        <v>0</v>
      </c>
    </row>
  </sheetData>
  <mergeCells count="1">
    <mergeCell ref="B3:B4"/>
  </mergeCells>
  <conditionalFormatting sqref="E3">
    <cfRule type="cellIs" dxfId="4" priority="2" operator="equal">
      <formula>"Não Proporcional"</formula>
    </cfRule>
  </conditionalFormatting>
  <dataValidations disablePrompts="1" count="1">
    <dataValidation type="list" allowBlank="1" showInputMessage="1" showErrorMessage="1" sqref="C6">
      <formula1>#REF!</formula1>
    </dataValidation>
  </dataValidations>
  <pageMargins left="0.7" right="0.7" top="0.75" bottom="0.75" header="0.3" footer="0.3"/>
  <pageSetup paperSize="9" scale="82" orientation="portrait" r:id="rId1"/>
  <colBreaks count="1" manualBreakCount="1">
    <brk id="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view="pageBreakPreview" zoomScale="80" zoomScaleSheetLayoutView="80" workbookViewId="0">
      <selection activeCell="E18" sqref="E18"/>
    </sheetView>
  </sheetViews>
  <sheetFormatPr defaultRowHeight="14.4" x14ac:dyDescent="0.3"/>
  <cols>
    <col min="1" max="1" width="2.6640625" customWidth="1"/>
    <col min="2" max="2" width="28.5546875" customWidth="1"/>
    <col min="3" max="3" width="31.44140625" customWidth="1"/>
    <col min="4" max="4" width="18.88671875" customWidth="1"/>
    <col min="5" max="5" width="26.88671875" customWidth="1"/>
    <col min="6" max="6" width="20.88671875" customWidth="1"/>
    <col min="7" max="7" width="17.33203125" customWidth="1"/>
  </cols>
  <sheetData>
    <row r="1" spans="2:7" ht="20.399999999999999" customHeight="1" x14ac:dyDescent="0.3">
      <c r="B1" s="97" t="s">
        <v>202</v>
      </c>
      <c r="C1" s="96" t="s">
        <v>146</v>
      </c>
      <c r="D1" s="86" t="s">
        <v>147</v>
      </c>
      <c r="E1" s="7"/>
    </row>
    <row r="2" spans="2:7" s="3" customFormat="1" ht="21" customHeight="1" x14ac:dyDescent="0.25">
      <c r="B2" s="117" t="str">
        <f>VLOOKUP($D$2,'PREÇO BAIRROS'!$A$5:$B$92,2,0)</f>
        <v>Praia Sul</v>
      </c>
      <c r="C2" s="84" t="str">
        <f>+'1_FAVT_1_Ori'!C11</f>
        <v>Palmarejo</v>
      </c>
      <c r="D2" s="85" t="str">
        <f>IF(C2="","",VLOOKUP($C$2,'PREÇO BAIRROS'!$C$5:$H$92,6,0))</f>
        <v>0307</v>
      </c>
      <c r="E2" s="7"/>
    </row>
    <row r="3" spans="2:7" s="3" customFormat="1" ht="23.25" customHeight="1" thickBot="1" x14ac:dyDescent="0.3">
      <c r="B3" s="431" t="s">
        <v>18</v>
      </c>
      <c r="C3" s="318" t="s">
        <v>380</v>
      </c>
      <c r="D3" s="319" t="str">
        <f>+'1_FAVT_1_Ori'!B12</f>
        <v>II</v>
      </c>
      <c r="E3" s="7"/>
    </row>
    <row r="4" spans="2:7" s="3" customFormat="1" ht="18.600000000000001" customHeight="1" x14ac:dyDescent="0.25">
      <c r="B4" s="432"/>
      <c r="C4" s="320">
        <f>VLOOKUP($D$2,'PREÇO BAIRROS'!$A$5:$G$92,MATCH($D$4,'PREÇO BAIRROS'!$A$4:$G$4,0))</f>
        <v>6000</v>
      </c>
      <c r="D4" s="321" t="s">
        <v>289</v>
      </c>
      <c r="E4" s="7"/>
      <c r="G4" s="178"/>
    </row>
    <row r="5" spans="2:7" s="3" customFormat="1" ht="19.95" customHeight="1" x14ac:dyDescent="0.25">
      <c r="B5" s="115"/>
      <c r="C5" s="325">
        <f>VLOOKUP($D$2,'PREÇO BAIRROS'!$A$5:$G$92,MATCH($D$5,'PREÇO BAIRROS'!$A$4:$G$4,0))</f>
        <v>4500</v>
      </c>
      <c r="D5" s="326" t="s">
        <v>290</v>
      </c>
      <c r="E5" s="7"/>
      <c r="G5" s="142"/>
    </row>
    <row r="6" spans="2:7" s="3" customFormat="1" ht="19.95" customHeight="1" thickBot="1" x14ac:dyDescent="0.3">
      <c r="B6" s="90" t="s">
        <v>204</v>
      </c>
      <c r="C6" s="322">
        <f>VLOOKUP($D$2,'PREÇO BAIRROS'!$A$5:$G$92,MATCH($D$5,'PREÇO BAIRROS'!$A$4:$G$4,0))</f>
        <v>4500</v>
      </c>
      <c r="D6" s="323" t="s">
        <v>291</v>
      </c>
      <c r="E6" s="7"/>
      <c r="G6" s="142"/>
    </row>
    <row r="7" spans="2:7" x14ac:dyDescent="0.3">
      <c r="B7" s="7"/>
      <c r="C7" s="7"/>
      <c r="D7" s="7"/>
      <c r="E7" s="7"/>
    </row>
    <row r="8" spans="2:7" x14ac:dyDescent="0.3">
      <c r="B8" s="7"/>
      <c r="C8" s="7"/>
      <c r="D8" s="7"/>
      <c r="E8" s="7"/>
    </row>
    <row r="12" spans="2:7" x14ac:dyDescent="0.3">
      <c r="F12" s="1">
        <f>8000000/8</f>
        <v>1000000</v>
      </c>
    </row>
    <row r="14" spans="2:7" x14ac:dyDescent="0.3">
      <c r="E14">
        <f>30000/30</f>
        <v>1000</v>
      </c>
    </row>
    <row r="16" spans="2:7" x14ac:dyDescent="0.3">
      <c r="D16" s="135"/>
      <c r="E16" s="136">
        <f>0.005</f>
        <v>5.0000000000000001E-3</v>
      </c>
    </row>
    <row r="17" spans="4:5" x14ac:dyDescent="0.3">
      <c r="D17" s="135" t="s">
        <v>229</v>
      </c>
      <c r="E17" s="135"/>
    </row>
  </sheetData>
  <mergeCells count="1">
    <mergeCell ref="B3:B4"/>
  </mergeCells>
  <pageMargins left="0.7" right="0.7" top="0.75" bottom="0.75" header="0.3" footer="0.3"/>
  <pageSetup paperSize="9" scale="82" orientation="portrait" r:id="rId1"/>
  <colBreaks count="1" manualBreakCount="1">
    <brk id="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K212"/>
  <sheetViews>
    <sheetView topLeftCell="F1" workbookViewId="0">
      <selection activeCell="A11" sqref="A11:IV11"/>
    </sheetView>
  </sheetViews>
  <sheetFormatPr defaultRowHeight="14.4" x14ac:dyDescent="0.3"/>
  <cols>
    <col min="4" max="4" width="12.44140625" bestFit="1" customWidth="1"/>
    <col min="10" max="10" width="11.33203125" customWidth="1"/>
  </cols>
  <sheetData>
    <row r="3" spans="1:11" x14ac:dyDescent="0.3">
      <c r="C3" t="s">
        <v>0</v>
      </c>
    </row>
    <row r="4" spans="1:11" x14ac:dyDescent="0.3">
      <c r="J4" t="s">
        <v>6</v>
      </c>
      <c r="K4" s="66">
        <v>0.05</v>
      </c>
    </row>
    <row r="6" spans="1:11" x14ac:dyDescent="0.3">
      <c r="J6" t="s">
        <v>7</v>
      </c>
      <c r="K6" s="66">
        <v>0.2</v>
      </c>
    </row>
    <row r="8" spans="1:11" x14ac:dyDescent="0.3">
      <c r="A8" t="s">
        <v>5</v>
      </c>
      <c r="B8">
        <f>+x_Cálculo!E12*3</f>
        <v>60</v>
      </c>
    </row>
    <row r="9" spans="1:11" ht="27.75" customHeight="1" x14ac:dyDescent="0.3">
      <c r="A9" t="s">
        <v>14</v>
      </c>
      <c r="B9" s="66">
        <v>0.15</v>
      </c>
    </row>
    <row r="10" spans="1:11" ht="30.75" customHeight="1" x14ac:dyDescent="0.3">
      <c r="A10" t="s">
        <v>4</v>
      </c>
      <c r="B10" t="s">
        <v>1</v>
      </c>
      <c r="C10" t="s">
        <v>2</v>
      </c>
      <c r="D10" t="s">
        <v>8</v>
      </c>
      <c r="E10" t="s">
        <v>3</v>
      </c>
    </row>
    <row r="11" spans="1:11" x14ac:dyDescent="0.3">
      <c r="A11" s="58">
        <v>2</v>
      </c>
      <c r="B11" s="58">
        <v>6</v>
      </c>
      <c r="C11" s="58">
        <v>2</v>
      </c>
      <c r="D11" s="58" t="b">
        <f>AND(B11&gt;=6,B11&lt;=$B$8)</f>
        <v>1</v>
      </c>
      <c r="E11" s="58">
        <f t="shared" ref="E11:E74" si="0">IF(D11,$K$4/3*(B11-$B$11),$K$4/3*($B$8-$B$11)+$K$6+$B$9*((B11-$B$8)/B11))</f>
        <v>0</v>
      </c>
    </row>
    <row r="12" spans="1:11" x14ac:dyDescent="0.3">
      <c r="A12" s="58">
        <v>3</v>
      </c>
      <c r="B12" s="58">
        <f>3*A12</f>
        <v>9</v>
      </c>
      <c r="C12" s="58">
        <f>+C11+1</f>
        <v>3</v>
      </c>
      <c r="D12" s="58" t="b">
        <f>AND(B12&gt;6,B12&lt;=$B$8)</f>
        <v>1</v>
      </c>
      <c r="E12" s="58">
        <f t="shared" si="0"/>
        <v>0.05</v>
      </c>
    </row>
    <row r="13" spans="1:11" x14ac:dyDescent="0.3">
      <c r="A13" s="58">
        <v>4</v>
      </c>
      <c r="B13" s="58">
        <f t="shared" ref="B13:B22" si="1">3*A13</f>
        <v>12</v>
      </c>
      <c r="C13" s="58">
        <f t="shared" ref="C13:C76" si="2">+C12+1</f>
        <v>4</v>
      </c>
      <c r="D13" s="58" t="b">
        <f t="shared" ref="D13:D18" si="3">AND(B13&gt;6,B13&lt;=$B$8)</f>
        <v>1</v>
      </c>
      <c r="E13" s="58">
        <f t="shared" si="0"/>
        <v>0.1</v>
      </c>
    </row>
    <row r="14" spans="1:11" x14ac:dyDescent="0.3">
      <c r="A14" s="58">
        <v>5</v>
      </c>
      <c r="B14" s="58">
        <f t="shared" si="1"/>
        <v>15</v>
      </c>
      <c r="C14" s="58">
        <f t="shared" si="2"/>
        <v>5</v>
      </c>
      <c r="D14" s="58" t="b">
        <f t="shared" si="3"/>
        <v>1</v>
      </c>
      <c r="E14" s="58">
        <f t="shared" si="0"/>
        <v>0.15</v>
      </c>
      <c r="K14" s="59"/>
    </row>
    <row r="15" spans="1:11" x14ac:dyDescent="0.3">
      <c r="A15" s="58">
        <v>6</v>
      </c>
      <c r="B15" s="58">
        <f t="shared" si="1"/>
        <v>18</v>
      </c>
      <c r="C15" s="58">
        <f t="shared" si="2"/>
        <v>6</v>
      </c>
      <c r="D15" s="58" t="b">
        <f t="shared" si="3"/>
        <v>1</v>
      </c>
      <c r="E15" s="58">
        <f t="shared" si="0"/>
        <v>0.2</v>
      </c>
    </row>
    <row r="16" spans="1:11" x14ac:dyDescent="0.3">
      <c r="A16" s="58">
        <v>7</v>
      </c>
      <c r="B16" s="58">
        <f t="shared" si="1"/>
        <v>21</v>
      </c>
      <c r="C16" s="58">
        <f t="shared" si="2"/>
        <v>7</v>
      </c>
      <c r="D16" s="58" t="b">
        <f t="shared" si="3"/>
        <v>1</v>
      </c>
      <c r="E16" s="58">
        <f t="shared" si="0"/>
        <v>0.25</v>
      </c>
    </row>
    <row r="17" spans="1:5" x14ac:dyDescent="0.3">
      <c r="A17" s="58">
        <v>8</v>
      </c>
      <c r="B17" s="58">
        <f t="shared" si="1"/>
        <v>24</v>
      </c>
      <c r="C17" s="58">
        <f t="shared" si="2"/>
        <v>8</v>
      </c>
      <c r="D17" s="58" t="b">
        <f t="shared" si="3"/>
        <v>1</v>
      </c>
      <c r="E17" s="58">
        <f t="shared" si="0"/>
        <v>0.3</v>
      </c>
    </row>
    <row r="18" spans="1:5" x14ac:dyDescent="0.3">
      <c r="A18" s="58">
        <v>9</v>
      </c>
      <c r="B18" s="58">
        <f t="shared" si="1"/>
        <v>27</v>
      </c>
      <c r="C18" s="58">
        <f t="shared" si="2"/>
        <v>9</v>
      </c>
      <c r="D18" s="58" t="b">
        <f t="shared" si="3"/>
        <v>1</v>
      </c>
      <c r="E18" s="58">
        <f t="shared" si="0"/>
        <v>0.35</v>
      </c>
    </row>
    <row r="19" spans="1:5" x14ac:dyDescent="0.3">
      <c r="A19" s="58">
        <v>10</v>
      </c>
      <c r="B19" s="58">
        <f t="shared" si="1"/>
        <v>30</v>
      </c>
      <c r="C19" s="58">
        <f t="shared" si="2"/>
        <v>10</v>
      </c>
      <c r="D19" s="58" t="b">
        <f>AND(B19&gt;6,B19&lt;=$B$8)</f>
        <v>1</v>
      </c>
      <c r="E19" s="58">
        <f t="shared" si="0"/>
        <v>0.4</v>
      </c>
    </row>
    <row r="20" spans="1:5" x14ac:dyDescent="0.3">
      <c r="A20" s="58">
        <v>11</v>
      </c>
      <c r="B20" s="58">
        <f t="shared" si="1"/>
        <v>33</v>
      </c>
      <c r="C20" s="58">
        <f t="shared" si="2"/>
        <v>11</v>
      </c>
      <c r="D20" s="58" t="b">
        <f>AND(B20&gt;6,B20&lt;=$B$8)</f>
        <v>1</v>
      </c>
      <c r="E20" s="58">
        <f t="shared" si="0"/>
        <v>0.45</v>
      </c>
    </row>
    <row r="21" spans="1:5" x14ac:dyDescent="0.3">
      <c r="A21" s="58">
        <v>12</v>
      </c>
      <c r="B21" s="58">
        <f t="shared" si="1"/>
        <v>36</v>
      </c>
      <c r="C21" s="58">
        <f t="shared" si="2"/>
        <v>12</v>
      </c>
      <c r="D21" s="58" t="b">
        <f>AND(B21&gt;6,B21&lt;=$B$8)</f>
        <v>1</v>
      </c>
      <c r="E21" s="58">
        <f t="shared" si="0"/>
        <v>0.5</v>
      </c>
    </row>
    <row r="22" spans="1:5" x14ac:dyDescent="0.3">
      <c r="A22" s="58">
        <v>13</v>
      </c>
      <c r="B22" s="58">
        <f t="shared" si="1"/>
        <v>39</v>
      </c>
      <c r="C22" s="58">
        <f t="shared" si="2"/>
        <v>13</v>
      </c>
      <c r="D22" s="58" t="b">
        <f>AND(B22&gt;6,B22&lt;=$B$8)</f>
        <v>1</v>
      </c>
      <c r="E22" s="58">
        <f t="shared" si="0"/>
        <v>0.55000000000000004</v>
      </c>
    </row>
    <row r="23" spans="1:5" x14ac:dyDescent="0.3">
      <c r="A23" s="58">
        <v>14</v>
      </c>
      <c r="B23" s="58">
        <f t="shared" ref="B23:B86" si="4">3*A23</f>
        <v>42</v>
      </c>
      <c r="C23" s="58">
        <f t="shared" si="2"/>
        <v>14</v>
      </c>
      <c r="D23" s="58" t="b">
        <f t="shared" ref="D23:D86" si="5">AND(B23&gt;6,B23&lt;=$B$8)</f>
        <v>1</v>
      </c>
      <c r="E23" s="58">
        <f t="shared" si="0"/>
        <v>0.6</v>
      </c>
    </row>
    <row r="24" spans="1:5" x14ac:dyDescent="0.3">
      <c r="A24" s="58">
        <v>15</v>
      </c>
      <c r="B24" s="58">
        <f t="shared" si="4"/>
        <v>45</v>
      </c>
      <c r="C24" s="58">
        <f t="shared" si="2"/>
        <v>15</v>
      </c>
      <c r="D24" s="58" t="b">
        <f t="shared" si="5"/>
        <v>1</v>
      </c>
      <c r="E24" s="58">
        <f t="shared" si="0"/>
        <v>0.65</v>
      </c>
    </row>
    <row r="25" spans="1:5" x14ac:dyDescent="0.3">
      <c r="A25" s="58">
        <v>16</v>
      </c>
      <c r="B25" s="58">
        <f t="shared" si="4"/>
        <v>48</v>
      </c>
      <c r="C25" s="58">
        <f t="shared" si="2"/>
        <v>16</v>
      </c>
      <c r="D25" s="58" t="b">
        <f t="shared" si="5"/>
        <v>1</v>
      </c>
      <c r="E25" s="58">
        <f t="shared" si="0"/>
        <v>0.7</v>
      </c>
    </row>
    <row r="26" spans="1:5" x14ac:dyDescent="0.3">
      <c r="A26" s="58">
        <v>17</v>
      </c>
      <c r="B26" s="58">
        <f t="shared" si="4"/>
        <v>51</v>
      </c>
      <c r="C26" s="58">
        <f t="shared" si="2"/>
        <v>17</v>
      </c>
      <c r="D26" s="58" t="b">
        <f t="shared" si="5"/>
        <v>1</v>
      </c>
      <c r="E26" s="58">
        <f t="shared" si="0"/>
        <v>0.75</v>
      </c>
    </row>
    <row r="27" spans="1:5" x14ac:dyDescent="0.3">
      <c r="A27" s="58">
        <v>18</v>
      </c>
      <c r="B27" s="58">
        <f t="shared" si="4"/>
        <v>54</v>
      </c>
      <c r="C27" s="58">
        <f t="shared" si="2"/>
        <v>18</v>
      </c>
      <c r="D27" s="58" t="b">
        <f t="shared" si="5"/>
        <v>1</v>
      </c>
      <c r="E27" s="58">
        <f t="shared" si="0"/>
        <v>0.8</v>
      </c>
    </row>
    <row r="28" spans="1:5" x14ac:dyDescent="0.3">
      <c r="A28" s="58">
        <v>19</v>
      </c>
      <c r="B28" s="58">
        <f t="shared" si="4"/>
        <v>57</v>
      </c>
      <c r="C28" s="58">
        <f t="shared" si="2"/>
        <v>19</v>
      </c>
      <c r="D28" s="58" t="b">
        <f t="shared" si="5"/>
        <v>1</v>
      </c>
      <c r="E28" s="58">
        <f t="shared" si="0"/>
        <v>0.85</v>
      </c>
    </row>
    <row r="29" spans="1:5" x14ac:dyDescent="0.3">
      <c r="A29" s="58">
        <v>20</v>
      </c>
      <c r="B29" s="58">
        <f t="shared" si="4"/>
        <v>60</v>
      </c>
      <c r="C29" s="58">
        <f t="shared" si="2"/>
        <v>20</v>
      </c>
      <c r="D29" s="58" t="b">
        <f t="shared" si="5"/>
        <v>1</v>
      </c>
      <c r="E29" s="58">
        <f t="shared" si="0"/>
        <v>0.9</v>
      </c>
    </row>
    <row r="30" spans="1:5" x14ac:dyDescent="0.3">
      <c r="A30" s="58">
        <v>21</v>
      </c>
      <c r="B30" s="58">
        <f t="shared" si="4"/>
        <v>63</v>
      </c>
      <c r="C30" s="58">
        <f t="shared" si="2"/>
        <v>21</v>
      </c>
      <c r="D30" s="58" t="b">
        <f t="shared" si="5"/>
        <v>0</v>
      </c>
      <c r="E30" s="58">
        <f t="shared" si="0"/>
        <v>1.1071428571428572</v>
      </c>
    </row>
    <row r="31" spans="1:5" x14ac:dyDescent="0.3">
      <c r="A31" s="58">
        <v>22</v>
      </c>
      <c r="B31" s="58">
        <f t="shared" si="4"/>
        <v>66</v>
      </c>
      <c r="C31" s="58">
        <f t="shared" si="2"/>
        <v>22</v>
      </c>
      <c r="D31" s="58" t="b">
        <f t="shared" si="5"/>
        <v>0</v>
      </c>
      <c r="E31" s="58">
        <f t="shared" si="0"/>
        <v>1.1136363636363638</v>
      </c>
    </row>
    <row r="32" spans="1:5" x14ac:dyDescent="0.3">
      <c r="A32" s="58">
        <v>23</v>
      </c>
      <c r="B32" s="58">
        <f t="shared" si="4"/>
        <v>69</v>
      </c>
      <c r="C32" s="58">
        <f t="shared" si="2"/>
        <v>23</v>
      </c>
      <c r="D32" s="58" t="b">
        <f t="shared" si="5"/>
        <v>0</v>
      </c>
      <c r="E32" s="58">
        <f t="shared" si="0"/>
        <v>1.1195652173913044</v>
      </c>
    </row>
    <row r="33" spans="1:5" x14ac:dyDescent="0.3">
      <c r="A33" s="58">
        <v>24</v>
      </c>
      <c r="B33" s="58">
        <f t="shared" si="4"/>
        <v>72</v>
      </c>
      <c r="C33" s="58">
        <f t="shared" si="2"/>
        <v>24</v>
      </c>
      <c r="D33" s="58" t="b">
        <f t="shared" si="5"/>
        <v>0</v>
      </c>
      <c r="E33" s="58">
        <f t="shared" si="0"/>
        <v>1.125</v>
      </c>
    </row>
    <row r="34" spans="1:5" x14ac:dyDescent="0.3">
      <c r="A34" s="58">
        <v>25</v>
      </c>
      <c r="B34" s="58">
        <f t="shared" si="4"/>
        <v>75</v>
      </c>
      <c r="C34" s="58">
        <f t="shared" si="2"/>
        <v>25</v>
      </c>
      <c r="D34" s="58" t="b">
        <f t="shared" si="5"/>
        <v>0</v>
      </c>
      <c r="E34" s="58">
        <f t="shared" si="0"/>
        <v>1.1300000000000001</v>
      </c>
    </row>
    <row r="35" spans="1:5" x14ac:dyDescent="0.3">
      <c r="A35" s="58">
        <v>26</v>
      </c>
      <c r="B35" s="58">
        <f t="shared" si="4"/>
        <v>78</v>
      </c>
      <c r="C35" s="58">
        <f t="shared" si="2"/>
        <v>26</v>
      </c>
      <c r="D35" s="58" t="b">
        <f t="shared" si="5"/>
        <v>0</v>
      </c>
      <c r="E35" s="58">
        <f t="shared" si="0"/>
        <v>1.1346153846153848</v>
      </c>
    </row>
    <row r="36" spans="1:5" x14ac:dyDescent="0.3">
      <c r="A36" s="58">
        <v>27</v>
      </c>
      <c r="B36" s="58">
        <f t="shared" si="4"/>
        <v>81</v>
      </c>
      <c r="C36" s="58">
        <f t="shared" si="2"/>
        <v>27</v>
      </c>
      <c r="D36" s="58" t="b">
        <f t="shared" si="5"/>
        <v>0</v>
      </c>
      <c r="E36" s="58">
        <f t="shared" si="0"/>
        <v>1.1388888888888891</v>
      </c>
    </row>
    <row r="37" spans="1:5" x14ac:dyDescent="0.3">
      <c r="A37" s="58">
        <v>28</v>
      </c>
      <c r="B37" s="58">
        <f t="shared" si="4"/>
        <v>84</v>
      </c>
      <c r="C37" s="58">
        <f t="shared" si="2"/>
        <v>28</v>
      </c>
      <c r="D37" s="58" t="b">
        <f t="shared" si="5"/>
        <v>0</v>
      </c>
      <c r="E37" s="58">
        <f t="shared" si="0"/>
        <v>1.142857142857143</v>
      </c>
    </row>
    <row r="38" spans="1:5" x14ac:dyDescent="0.3">
      <c r="A38" s="58">
        <v>29</v>
      </c>
      <c r="B38" s="58">
        <f t="shared" si="4"/>
        <v>87</v>
      </c>
      <c r="C38" s="58">
        <f t="shared" si="2"/>
        <v>29</v>
      </c>
      <c r="D38" s="58" t="b">
        <f t="shared" si="5"/>
        <v>0</v>
      </c>
      <c r="E38" s="58">
        <f t="shared" si="0"/>
        <v>1.146551724137931</v>
      </c>
    </row>
    <row r="39" spans="1:5" x14ac:dyDescent="0.3">
      <c r="A39" s="58">
        <v>30</v>
      </c>
      <c r="B39" s="58">
        <f t="shared" si="4"/>
        <v>90</v>
      </c>
      <c r="C39" s="58">
        <f t="shared" si="2"/>
        <v>30</v>
      </c>
      <c r="D39" s="58" t="b">
        <f t="shared" si="5"/>
        <v>0</v>
      </c>
      <c r="E39" s="58">
        <f t="shared" si="0"/>
        <v>1.1500000000000001</v>
      </c>
    </row>
    <row r="40" spans="1:5" x14ac:dyDescent="0.3">
      <c r="A40" s="58">
        <v>31</v>
      </c>
      <c r="B40" s="58">
        <f t="shared" si="4"/>
        <v>93</v>
      </c>
      <c r="C40" s="58">
        <f t="shared" si="2"/>
        <v>31</v>
      </c>
      <c r="D40" s="58" t="b">
        <f t="shared" si="5"/>
        <v>0</v>
      </c>
      <c r="E40" s="58">
        <f t="shared" si="0"/>
        <v>1.153225806451613</v>
      </c>
    </row>
    <row r="41" spans="1:5" x14ac:dyDescent="0.3">
      <c r="A41" s="58">
        <v>32</v>
      </c>
      <c r="B41" s="58">
        <f t="shared" si="4"/>
        <v>96</v>
      </c>
      <c r="C41" s="58">
        <f t="shared" si="2"/>
        <v>32</v>
      </c>
      <c r="D41" s="58" t="b">
        <f t="shared" si="5"/>
        <v>0</v>
      </c>
      <c r="E41" s="58">
        <f t="shared" si="0"/>
        <v>1.15625</v>
      </c>
    </row>
    <row r="42" spans="1:5" x14ac:dyDescent="0.3">
      <c r="A42" s="58">
        <v>33</v>
      </c>
      <c r="B42" s="58">
        <f t="shared" si="4"/>
        <v>99</v>
      </c>
      <c r="C42" s="58">
        <f t="shared" si="2"/>
        <v>33</v>
      </c>
      <c r="D42" s="58" t="b">
        <f t="shared" si="5"/>
        <v>0</v>
      </c>
      <c r="E42" s="58">
        <f t="shared" si="0"/>
        <v>1.1590909090909092</v>
      </c>
    </row>
    <row r="43" spans="1:5" x14ac:dyDescent="0.3">
      <c r="A43" s="58">
        <v>34</v>
      </c>
      <c r="B43" s="58">
        <f t="shared" si="4"/>
        <v>102</v>
      </c>
      <c r="C43" s="58">
        <f t="shared" si="2"/>
        <v>34</v>
      </c>
      <c r="D43" s="58" t="b">
        <f t="shared" si="5"/>
        <v>0</v>
      </c>
      <c r="E43" s="58">
        <f t="shared" si="0"/>
        <v>1.161764705882353</v>
      </c>
    </row>
    <row r="44" spans="1:5" x14ac:dyDescent="0.3">
      <c r="A44" s="58">
        <v>35</v>
      </c>
      <c r="B44" s="58">
        <f t="shared" si="4"/>
        <v>105</v>
      </c>
      <c r="C44" s="58">
        <f t="shared" si="2"/>
        <v>35</v>
      </c>
      <c r="D44" s="58" t="b">
        <f t="shared" si="5"/>
        <v>0</v>
      </c>
      <c r="E44" s="58">
        <f t="shared" si="0"/>
        <v>1.1642857142857144</v>
      </c>
    </row>
    <row r="45" spans="1:5" x14ac:dyDescent="0.3">
      <c r="A45" s="58">
        <v>36</v>
      </c>
      <c r="B45" s="58">
        <f t="shared" si="4"/>
        <v>108</v>
      </c>
      <c r="C45" s="58">
        <f t="shared" si="2"/>
        <v>36</v>
      </c>
      <c r="D45" s="58" t="b">
        <f t="shared" si="5"/>
        <v>0</v>
      </c>
      <c r="E45" s="58">
        <f t="shared" si="0"/>
        <v>1.1666666666666667</v>
      </c>
    </row>
    <row r="46" spans="1:5" x14ac:dyDescent="0.3">
      <c r="A46" s="58">
        <v>37</v>
      </c>
      <c r="B46" s="58">
        <f t="shared" si="4"/>
        <v>111</v>
      </c>
      <c r="C46" s="58">
        <f t="shared" si="2"/>
        <v>37</v>
      </c>
      <c r="D46" s="58" t="b">
        <f t="shared" si="5"/>
        <v>0</v>
      </c>
      <c r="E46" s="58">
        <f t="shared" si="0"/>
        <v>1.1689189189189191</v>
      </c>
    </row>
    <row r="47" spans="1:5" x14ac:dyDescent="0.3">
      <c r="A47" s="58">
        <v>38</v>
      </c>
      <c r="B47" s="58">
        <f t="shared" si="4"/>
        <v>114</v>
      </c>
      <c r="C47" s="58">
        <f t="shared" si="2"/>
        <v>38</v>
      </c>
      <c r="D47" s="58" t="b">
        <f t="shared" si="5"/>
        <v>0</v>
      </c>
      <c r="E47" s="58">
        <f t="shared" si="0"/>
        <v>1.1710526315789473</v>
      </c>
    </row>
    <row r="48" spans="1:5" x14ac:dyDescent="0.3">
      <c r="A48" s="58">
        <v>39</v>
      </c>
      <c r="B48" s="58">
        <f t="shared" si="4"/>
        <v>117</v>
      </c>
      <c r="C48" s="58">
        <f t="shared" si="2"/>
        <v>39</v>
      </c>
      <c r="D48" s="58" t="b">
        <f t="shared" si="5"/>
        <v>0</v>
      </c>
      <c r="E48" s="58">
        <f t="shared" si="0"/>
        <v>1.1730769230769231</v>
      </c>
    </row>
    <row r="49" spans="1:5" x14ac:dyDescent="0.3">
      <c r="A49" s="58">
        <v>40</v>
      </c>
      <c r="B49" s="58">
        <f t="shared" si="4"/>
        <v>120</v>
      </c>
      <c r="C49" s="58">
        <f t="shared" si="2"/>
        <v>40</v>
      </c>
      <c r="D49" s="58" t="b">
        <f t="shared" si="5"/>
        <v>0</v>
      </c>
      <c r="E49" s="58">
        <f t="shared" si="0"/>
        <v>1.175</v>
      </c>
    </row>
    <row r="50" spans="1:5" x14ac:dyDescent="0.3">
      <c r="A50" s="58">
        <v>41</v>
      </c>
      <c r="B50" s="58">
        <f t="shared" si="4"/>
        <v>123</v>
      </c>
      <c r="C50" s="58">
        <f t="shared" si="2"/>
        <v>41</v>
      </c>
      <c r="D50" s="58" t="b">
        <f t="shared" si="5"/>
        <v>0</v>
      </c>
      <c r="E50" s="58">
        <f t="shared" si="0"/>
        <v>1.1768292682926831</v>
      </c>
    </row>
    <row r="51" spans="1:5" x14ac:dyDescent="0.3">
      <c r="A51" s="58">
        <v>42</v>
      </c>
      <c r="B51" s="58">
        <f t="shared" si="4"/>
        <v>126</v>
      </c>
      <c r="C51" s="58">
        <f t="shared" si="2"/>
        <v>42</v>
      </c>
      <c r="D51" s="58" t="b">
        <f t="shared" si="5"/>
        <v>0</v>
      </c>
      <c r="E51" s="58">
        <f t="shared" si="0"/>
        <v>1.1785714285714286</v>
      </c>
    </row>
    <row r="52" spans="1:5" x14ac:dyDescent="0.3">
      <c r="A52" s="58">
        <v>43</v>
      </c>
      <c r="B52" s="58">
        <f t="shared" si="4"/>
        <v>129</v>
      </c>
      <c r="C52" s="58">
        <f t="shared" si="2"/>
        <v>43</v>
      </c>
      <c r="D52" s="58" t="b">
        <f t="shared" si="5"/>
        <v>0</v>
      </c>
      <c r="E52" s="58">
        <f t="shared" si="0"/>
        <v>1.180232558139535</v>
      </c>
    </row>
    <row r="53" spans="1:5" x14ac:dyDescent="0.3">
      <c r="A53" s="58">
        <v>44</v>
      </c>
      <c r="B53" s="58">
        <f t="shared" si="4"/>
        <v>132</v>
      </c>
      <c r="C53" s="58">
        <f t="shared" si="2"/>
        <v>44</v>
      </c>
      <c r="D53" s="58" t="b">
        <f t="shared" si="5"/>
        <v>0</v>
      </c>
      <c r="E53" s="58">
        <f t="shared" si="0"/>
        <v>1.1818181818181819</v>
      </c>
    </row>
    <row r="54" spans="1:5" x14ac:dyDescent="0.3">
      <c r="A54" s="58">
        <v>45</v>
      </c>
      <c r="B54" s="58">
        <f t="shared" si="4"/>
        <v>135</v>
      </c>
      <c r="C54" s="58">
        <f t="shared" si="2"/>
        <v>45</v>
      </c>
      <c r="D54" s="58" t="b">
        <f t="shared" si="5"/>
        <v>0</v>
      </c>
      <c r="E54" s="58">
        <f t="shared" si="0"/>
        <v>1.1833333333333333</v>
      </c>
    </row>
    <row r="55" spans="1:5" x14ac:dyDescent="0.3">
      <c r="A55" s="58">
        <v>46</v>
      </c>
      <c r="B55" s="58">
        <f t="shared" si="4"/>
        <v>138</v>
      </c>
      <c r="C55" s="58">
        <f t="shared" si="2"/>
        <v>46</v>
      </c>
      <c r="D55" s="58" t="b">
        <f t="shared" si="5"/>
        <v>0</v>
      </c>
      <c r="E55" s="58">
        <f t="shared" si="0"/>
        <v>1.1847826086956523</v>
      </c>
    </row>
    <row r="56" spans="1:5" x14ac:dyDescent="0.3">
      <c r="A56" s="58">
        <v>47</v>
      </c>
      <c r="B56" s="58">
        <f t="shared" si="4"/>
        <v>141</v>
      </c>
      <c r="C56" s="58">
        <f t="shared" si="2"/>
        <v>47</v>
      </c>
      <c r="D56" s="58" t="b">
        <f t="shared" si="5"/>
        <v>0</v>
      </c>
      <c r="E56" s="58">
        <f t="shared" si="0"/>
        <v>1.1861702127659575</v>
      </c>
    </row>
    <row r="57" spans="1:5" x14ac:dyDescent="0.3">
      <c r="A57" s="58">
        <v>48</v>
      </c>
      <c r="B57" s="58">
        <f t="shared" si="4"/>
        <v>144</v>
      </c>
      <c r="C57" s="58">
        <f t="shared" si="2"/>
        <v>48</v>
      </c>
      <c r="D57" s="58" t="b">
        <f t="shared" si="5"/>
        <v>0</v>
      </c>
      <c r="E57" s="58">
        <f t="shared" si="0"/>
        <v>1.1875</v>
      </c>
    </row>
    <row r="58" spans="1:5" x14ac:dyDescent="0.3">
      <c r="A58" s="58">
        <v>49</v>
      </c>
      <c r="B58" s="58">
        <f t="shared" si="4"/>
        <v>147</v>
      </c>
      <c r="C58" s="58">
        <f t="shared" si="2"/>
        <v>49</v>
      </c>
      <c r="D58" s="58" t="b">
        <f t="shared" si="5"/>
        <v>0</v>
      </c>
      <c r="E58" s="58">
        <f t="shared" si="0"/>
        <v>1.1887755102040818</v>
      </c>
    </row>
    <row r="59" spans="1:5" x14ac:dyDescent="0.3">
      <c r="A59" s="58">
        <v>50</v>
      </c>
      <c r="B59" s="58">
        <f t="shared" si="4"/>
        <v>150</v>
      </c>
      <c r="C59" s="58">
        <f t="shared" si="2"/>
        <v>50</v>
      </c>
      <c r="D59" s="58" t="b">
        <f t="shared" si="5"/>
        <v>0</v>
      </c>
      <c r="E59" s="58">
        <f t="shared" si="0"/>
        <v>1.1900000000000002</v>
      </c>
    </row>
    <row r="60" spans="1:5" x14ac:dyDescent="0.3">
      <c r="A60" s="58">
        <v>51</v>
      </c>
      <c r="B60" s="58">
        <f t="shared" si="4"/>
        <v>153</v>
      </c>
      <c r="C60" s="58">
        <f t="shared" si="2"/>
        <v>51</v>
      </c>
      <c r="D60" s="58" t="b">
        <f t="shared" si="5"/>
        <v>0</v>
      </c>
      <c r="E60" s="58">
        <f t="shared" si="0"/>
        <v>1.1911764705882353</v>
      </c>
    </row>
    <row r="61" spans="1:5" x14ac:dyDescent="0.3">
      <c r="A61" s="58">
        <v>52</v>
      </c>
      <c r="B61" s="58">
        <f t="shared" si="4"/>
        <v>156</v>
      </c>
      <c r="C61" s="58">
        <f t="shared" si="2"/>
        <v>52</v>
      </c>
      <c r="D61" s="58" t="b">
        <f t="shared" si="5"/>
        <v>0</v>
      </c>
      <c r="E61" s="58">
        <f t="shared" si="0"/>
        <v>1.1923076923076925</v>
      </c>
    </row>
    <row r="62" spans="1:5" x14ac:dyDescent="0.3">
      <c r="A62" s="58">
        <v>53</v>
      </c>
      <c r="B62" s="58">
        <f t="shared" si="4"/>
        <v>159</v>
      </c>
      <c r="C62" s="58">
        <f t="shared" si="2"/>
        <v>53</v>
      </c>
      <c r="D62" s="58" t="b">
        <f t="shared" si="5"/>
        <v>0</v>
      </c>
      <c r="E62" s="58">
        <f t="shared" si="0"/>
        <v>1.1933962264150944</v>
      </c>
    </row>
    <row r="63" spans="1:5" x14ac:dyDescent="0.3">
      <c r="A63" s="58">
        <v>54</v>
      </c>
      <c r="B63" s="58">
        <f t="shared" si="4"/>
        <v>162</v>
      </c>
      <c r="C63" s="58">
        <f t="shared" si="2"/>
        <v>54</v>
      </c>
      <c r="D63" s="58" t="b">
        <f t="shared" si="5"/>
        <v>0</v>
      </c>
      <c r="E63" s="58">
        <f t="shared" si="0"/>
        <v>1.1944444444444446</v>
      </c>
    </row>
    <row r="64" spans="1:5" x14ac:dyDescent="0.3">
      <c r="A64" s="58">
        <v>55</v>
      </c>
      <c r="B64" s="58">
        <f t="shared" si="4"/>
        <v>165</v>
      </c>
      <c r="C64" s="58">
        <f t="shared" si="2"/>
        <v>55</v>
      </c>
      <c r="D64" s="58" t="b">
        <f t="shared" si="5"/>
        <v>0</v>
      </c>
      <c r="E64" s="58">
        <f t="shared" si="0"/>
        <v>1.1954545454545455</v>
      </c>
    </row>
    <row r="65" spans="1:5" x14ac:dyDescent="0.3">
      <c r="A65" s="58">
        <v>56</v>
      </c>
      <c r="B65" s="58">
        <f t="shared" si="4"/>
        <v>168</v>
      </c>
      <c r="C65" s="58">
        <f t="shared" si="2"/>
        <v>56</v>
      </c>
      <c r="D65" s="58" t="b">
        <f t="shared" si="5"/>
        <v>0</v>
      </c>
      <c r="E65" s="58">
        <f t="shared" si="0"/>
        <v>1.1964285714285716</v>
      </c>
    </row>
    <row r="66" spans="1:5" x14ac:dyDescent="0.3">
      <c r="A66" s="58">
        <v>57</v>
      </c>
      <c r="B66" s="58">
        <f t="shared" si="4"/>
        <v>171</v>
      </c>
      <c r="C66" s="58">
        <f t="shared" si="2"/>
        <v>57</v>
      </c>
      <c r="D66" s="58" t="b">
        <f t="shared" si="5"/>
        <v>0</v>
      </c>
      <c r="E66" s="58">
        <f t="shared" si="0"/>
        <v>1.1973684210526316</v>
      </c>
    </row>
    <row r="67" spans="1:5" x14ac:dyDescent="0.3">
      <c r="A67" s="58">
        <v>58</v>
      </c>
      <c r="B67" s="58">
        <f t="shared" si="4"/>
        <v>174</v>
      </c>
      <c r="C67" s="58">
        <f t="shared" si="2"/>
        <v>58</v>
      </c>
      <c r="D67" s="58" t="b">
        <f t="shared" si="5"/>
        <v>0</v>
      </c>
      <c r="E67" s="58">
        <f t="shared" si="0"/>
        <v>1.1982758620689655</v>
      </c>
    </row>
    <row r="68" spans="1:5" x14ac:dyDescent="0.3">
      <c r="A68" s="58">
        <v>59</v>
      </c>
      <c r="B68" s="58">
        <f t="shared" si="4"/>
        <v>177</v>
      </c>
      <c r="C68" s="58">
        <f t="shared" si="2"/>
        <v>59</v>
      </c>
      <c r="D68" s="58" t="b">
        <f t="shared" si="5"/>
        <v>0</v>
      </c>
      <c r="E68" s="58">
        <f t="shared" si="0"/>
        <v>1.1991525423728815</v>
      </c>
    </row>
    <row r="69" spans="1:5" x14ac:dyDescent="0.3">
      <c r="A69" s="58">
        <v>60</v>
      </c>
      <c r="B69" s="58">
        <f t="shared" si="4"/>
        <v>180</v>
      </c>
      <c r="C69" s="58">
        <f t="shared" si="2"/>
        <v>60</v>
      </c>
      <c r="D69" s="58" t="b">
        <f t="shared" si="5"/>
        <v>0</v>
      </c>
      <c r="E69" s="58">
        <f t="shared" si="0"/>
        <v>1.2000000000000002</v>
      </c>
    </row>
    <row r="70" spans="1:5" x14ac:dyDescent="0.3">
      <c r="A70" s="58">
        <v>61</v>
      </c>
      <c r="B70" s="58">
        <f t="shared" si="4"/>
        <v>183</v>
      </c>
      <c r="C70" s="58">
        <f t="shared" si="2"/>
        <v>61</v>
      </c>
      <c r="D70" s="58" t="b">
        <f t="shared" si="5"/>
        <v>0</v>
      </c>
      <c r="E70" s="58">
        <f t="shared" si="0"/>
        <v>1.2008196721311477</v>
      </c>
    </row>
    <row r="71" spans="1:5" x14ac:dyDescent="0.3">
      <c r="A71" s="58">
        <v>62</v>
      </c>
      <c r="B71" s="58">
        <f t="shared" si="4"/>
        <v>186</v>
      </c>
      <c r="C71" s="58">
        <f t="shared" si="2"/>
        <v>62</v>
      </c>
      <c r="D71" s="58" t="b">
        <f t="shared" si="5"/>
        <v>0</v>
      </c>
      <c r="E71" s="58">
        <f t="shared" si="0"/>
        <v>1.2016129032258065</v>
      </c>
    </row>
    <row r="72" spans="1:5" x14ac:dyDescent="0.3">
      <c r="A72" s="58">
        <v>63</v>
      </c>
      <c r="B72" s="58">
        <f t="shared" si="4"/>
        <v>189</v>
      </c>
      <c r="C72" s="58">
        <f t="shared" si="2"/>
        <v>63</v>
      </c>
      <c r="D72" s="58" t="b">
        <f t="shared" si="5"/>
        <v>0</v>
      </c>
      <c r="E72" s="58">
        <f t="shared" si="0"/>
        <v>1.2023809523809526</v>
      </c>
    </row>
    <row r="73" spans="1:5" x14ac:dyDescent="0.3">
      <c r="A73" s="58">
        <v>64</v>
      </c>
      <c r="B73" s="58">
        <f t="shared" si="4"/>
        <v>192</v>
      </c>
      <c r="C73" s="58">
        <f t="shared" si="2"/>
        <v>64</v>
      </c>
      <c r="D73" s="58" t="b">
        <f t="shared" si="5"/>
        <v>0</v>
      </c>
      <c r="E73" s="58">
        <f t="shared" si="0"/>
        <v>1.203125</v>
      </c>
    </row>
    <row r="74" spans="1:5" x14ac:dyDescent="0.3">
      <c r="A74" s="58">
        <v>65</v>
      </c>
      <c r="B74" s="58">
        <f t="shared" si="4"/>
        <v>195</v>
      </c>
      <c r="C74" s="58">
        <f t="shared" si="2"/>
        <v>65</v>
      </c>
      <c r="D74" s="58" t="b">
        <f t="shared" si="5"/>
        <v>0</v>
      </c>
      <c r="E74" s="58">
        <f t="shared" si="0"/>
        <v>1.203846153846154</v>
      </c>
    </row>
    <row r="75" spans="1:5" x14ac:dyDescent="0.3">
      <c r="A75" s="58">
        <v>66</v>
      </c>
      <c r="B75" s="58">
        <f t="shared" si="4"/>
        <v>198</v>
      </c>
      <c r="C75" s="58">
        <f t="shared" si="2"/>
        <v>66</v>
      </c>
      <c r="D75" s="58" t="b">
        <f t="shared" si="5"/>
        <v>0</v>
      </c>
      <c r="E75" s="58">
        <f t="shared" ref="E75:E138" si="6">IF(D75,$K$4/3*(B75-$B$11),$K$4/3*($B$8-$B$11)+$K$6+$B$9*((B75-$B$8)/B75))</f>
        <v>1.2045454545454546</v>
      </c>
    </row>
    <row r="76" spans="1:5" x14ac:dyDescent="0.3">
      <c r="A76" s="58">
        <v>67</v>
      </c>
      <c r="B76" s="58">
        <f t="shared" si="4"/>
        <v>201</v>
      </c>
      <c r="C76" s="58">
        <f t="shared" si="2"/>
        <v>67</v>
      </c>
      <c r="D76" s="58" t="b">
        <f t="shared" si="5"/>
        <v>0</v>
      </c>
      <c r="E76" s="58">
        <f t="shared" si="6"/>
        <v>1.205223880597015</v>
      </c>
    </row>
    <row r="77" spans="1:5" x14ac:dyDescent="0.3">
      <c r="A77" s="58">
        <v>68</v>
      </c>
      <c r="B77" s="58">
        <f t="shared" si="4"/>
        <v>204</v>
      </c>
      <c r="C77" s="58">
        <f t="shared" ref="C77:C140" si="7">+C76+1</f>
        <v>68</v>
      </c>
      <c r="D77" s="58" t="b">
        <f t="shared" si="5"/>
        <v>0</v>
      </c>
      <c r="E77" s="58">
        <f t="shared" si="6"/>
        <v>1.2058823529411766</v>
      </c>
    </row>
    <row r="78" spans="1:5" x14ac:dyDescent="0.3">
      <c r="A78" s="58">
        <v>69</v>
      </c>
      <c r="B78" s="58">
        <f t="shared" si="4"/>
        <v>207</v>
      </c>
      <c r="C78" s="58">
        <f t="shared" si="7"/>
        <v>69</v>
      </c>
      <c r="D78" s="58" t="b">
        <f t="shared" si="5"/>
        <v>0</v>
      </c>
      <c r="E78" s="58">
        <f t="shared" si="6"/>
        <v>1.2065217391304348</v>
      </c>
    </row>
    <row r="79" spans="1:5" x14ac:dyDescent="0.3">
      <c r="A79" s="58">
        <v>70</v>
      </c>
      <c r="B79" s="58">
        <f t="shared" si="4"/>
        <v>210</v>
      </c>
      <c r="C79" s="58">
        <f t="shared" si="7"/>
        <v>70</v>
      </c>
      <c r="D79" s="58" t="b">
        <f t="shared" si="5"/>
        <v>0</v>
      </c>
      <c r="E79" s="58">
        <f t="shared" si="6"/>
        <v>1.2071428571428573</v>
      </c>
    </row>
    <row r="80" spans="1:5" x14ac:dyDescent="0.3">
      <c r="A80" s="58">
        <v>71</v>
      </c>
      <c r="B80" s="58">
        <f t="shared" si="4"/>
        <v>213</v>
      </c>
      <c r="C80" s="58">
        <f t="shared" si="7"/>
        <v>71</v>
      </c>
      <c r="D80" s="58" t="b">
        <f t="shared" si="5"/>
        <v>0</v>
      </c>
      <c r="E80" s="58">
        <f t="shared" si="6"/>
        <v>1.2077464788732395</v>
      </c>
    </row>
    <row r="81" spans="1:5" x14ac:dyDescent="0.3">
      <c r="A81" s="58">
        <v>72</v>
      </c>
      <c r="B81" s="58">
        <f t="shared" si="4"/>
        <v>216</v>
      </c>
      <c r="C81" s="58">
        <f t="shared" si="7"/>
        <v>72</v>
      </c>
      <c r="D81" s="58" t="b">
        <f t="shared" si="5"/>
        <v>0</v>
      </c>
      <c r="E81" s="58">
        <f t="shared" si="6"/>
        <v>1.2083333333333335</v>
      </c>
    </row>
    <row r="82" spans="1:5" x14ac:dyDescent="0.3">
      <c r="A82" s="58">
        <v>73</v>
      </c>
      <c r="B82" s="58">
        <f t="shared" si="4"/>
        <v>219</v>
      </c>
      <c r="C82" s="58">
        <f t="shared" si="7"/>
        <v>73</v>
      </c>
      <c r="D82" s="58" t="b">
        <f t="shared" si="5"/>
        <v>0</v>
      </c>
      <c r="E82" s="58">
        <f t="shared" si="6"/>
        <v>1.2089041095890412</v>
      </c>
    </row>
    <row r="83" spans="1:5" x14ac:dyDescent="0.3">
      <c r="A83" s="58">
        <v>74</v>
      </c>
      <c r="B83" s="58">
        <f t="shared" si="4"/>
        <v>222</v>
      </c>
      <c r="C83" s="58">
        <f t="shared" si="7"/>
        <v>74</v>
      </c>
      <c r="D83" s="58" t="b">
        <f t="shared" si="5"/>
        <v>0</v>
      </c>
      <c r="E83" s="58">
        <f t="shared" si="6"/>
        <v>1.2094594594594597</v>
      </c>
    </row>
    <row r="84" spans="1:5" x14ac:dyDescent="0.3">
      <c r="A84" s="58">
        <v>75</v>
      </c>
      <c r="B84" s="58">
        <f t="shared" si="4"/>
        <v>225</v>
      </c>
      <c r="C84" s="58">
        <f t="shared" si="7"/>
        <v>75</v>
      </c>
      <c r="D84" s="58" t="b">
        <f t="shared" si="5"/>
        <v>0</v>
      </c>
      <c r="E84" s="58">
        <f t="shared" si="6"/>
        <v>1.21</v>
      </c>
    </row>
    <row r="85" spans="1:5" x14ac:dyDescent="0.3">
      <c r="A85" s="58">
        <v>76</v>
      </c>
      <c r="B85" s="58">
        <f t="shared" si="4"/>
        <v>228</v>
      </c>
      <c r="C85" s="58">
        <f t="shared" si="7"/>
        <v>76</v>
      </c>
      <c r="D85" s="58" t="b">
        <f t="shared" si="5"/>
        <v>0</v>
      </c>
      <c r="E85" s="58">
        <f t="shared" si="6"/>
        <v>1.2105263157894737</v>
      </c>
    </row>
    <row r="86" spans="1:5" x14ac:dyDescent="0.3">
      <c r="A86" s="58">
        <v>77</v>
      </c>
      <c r="B86" s="58">
        <f t="shared" si="4"/>
        <v>231</v>
      </c>
      <c r="C86" s="58">
        <f t="shared" si="7"/>
        <v>77</v>
      </c>
      <c r="D86" s="58" t="b">
        <f t="shared" si="5"/>
        <v>0</v>
      </c>
      <c r="E86" s="58">
        <f t="shared" si="6"/>
        <v>1.2110389610389611</v>
      </c>
    </row>
    <row r="87" spans="1:5" x14ac:dyDescent="0.3">
      <c r="A87" s="58">
        <v>78</v>
      </c>
      <c r="B87" s="58">
        <f t="shared" ref="B87:B150" si="8">3*A87</f>
        <v>234</v>
      </c>
      <c r="C87" s="58">
        <f t="shared" si="7"/>
        <v>78</v>
      </c>
      <c r="D87" s="58" t="b">
        <f t="shared" ref="D87:D150" si="9">AND(B87&gt;6,B87&lt;=$B$8)</f>
        <v>0</v>
      </c>
      <c r="E87" s="58">
        <f t="shared" si="6"/>
        <v>1.2115384615384617</v>
      </c>
    </row>
    <row r="88" spans="1:5" x14ac:dyDescent="0.3">
      <c r="A88" s="58">
        <v>79</v>
      </c>
      <c r="B88" s="58">
        <f t="shared" si="8"/>
        <v>237</v>
      </c>
      <c r="C88" s="58">
        <f t="shared" si="7"/>
        <v>79</v>
      </c>
      <c r="D88" s="58" t="b">
        <f t="shared" si="9"/>
        <v>0</v>
      </c>
      <c r="E88" s="58">
        <f t="shared" si="6"/>
        <v>1.2120253164556962</v>
      </c>
    </row>
    <row r="89" spans="1:5" x14ac:dyDescent="0.3">
      <c r="A89" s="58">
        <v>80</v>
      </c>
      <c r="B89" s="58">
        <f t="shared" si="8"/>
        <v>240</v>
      </c>
      <c r="C89" s="58">
        <f t="shared" si="7"/>
        <v>80</v>
      </c>
      <c r="D89" s="58" t="b">
        <f t="shared" si="9"/>
        <v>0</v>
      </c>
      <c r="E89" s="58">
        <f t="shared" si="6"/>
        <v>1.2125000000000001</v>
      </c>
    </row>
    <row r="90" spans="1:5" x14ac:dyDescent="0.3">
      <c r="A90" s="58">
        <v>81</v>
      </c>
      <c r="B90" s="58">
        <f t="shared" si="8"/>
        <v>243</v>
      </c>
      <c r="C90" s="58">
        <f t="shared" si="7"/>
        <v>81</v>
      </c>
      <c r="D90" s="58" t="b">
        <f t="shared" si="9"/>
        <v>0</v>
      </c>
      <c r="E90" s="58">
        <f t="shared" si="6"/>
        <v>1.212962962962963</v>
      </c>
    </row>
    <row r="91" spans="1:5" x14ac:dyDescent="0.3">
      <c r="A91" s="58">
        <v>82</v>
      </c>
      <c r="B91" s="58">
        <f t="shared" si="8"/>
        <v>246</v>
      </c>
      <c r="C91" s="58">
        <f t="shared" si="7"/>
        <v>82</v>
      </c>
      <c r="D91" s="58" t="b">
        <f t="shared" si="9"/>
        <v>0</v>
      </c>
      <c r="E91" s="58">
        <f t="shared" si="6"/>
        <v>1.2134146341463414</v>
      </c>
    </row>
    <row r="92" spans="1:5" x14ac:dyDescent="0.3">
      <c r="A92" s="58">
        <v>83</v>
      </c>
      <c r="B92" s="58">
        <f t="shared" si="8"/>
        <v>249</v>
      </c>
      <c r="C92" s="58">
        <f t="shared" si="7"/>
        <v>83</v>
      </c>
      <c r="D92" s="58" t="b">
        <f t="shared" si="9"/>
        <v>0</v>
      </c>
      <c r="E92" s="58">
        <f t="shared" si="6"/>
        <v>1.213855421686747</v>
      </c>
    </row>
    <row r="93" spans="1:5" x14ac:dyDescent="0.3">
      <c r="A93" s="58">
        <v>84</v>
      </c>
      <c r="B93" s="58">
        <f t="shared" si="8"/>
        <v>252</v>
      </c>
      <c r="C93" s="58">
        <f t="shared" si="7"/>
        <v>84</v>
      </c>
      <c r="D93" s="58" t="b">
        <f t="shared" si="9"/>
        <v>0</v>
      </c>
      <c r="E93" s="58">
        <f t="shared" si="6"/>
        <v>1.2142857142857144</v>
      </c>
    </row>
    <row r="94" spans="1:5" x14ac:dyDescent="0.3">
      <c r="A94" s="58">
        <v>85</v>
      </c>
      <c r="B94" s="58">
        <f t="shared" si="8"/>
        <v>255</v>
      </c>
      <c r="C94" s="58">
        <f t="shared" si="7"/>
        <v>85</v>
      </c>
      <c r="D94" s="58" t="b">
        <f t="shared" si="9"/>
        <v>0</v>
      </c>
      <c r="E94" s="58">
        <f t="shared" si="6"/>
        <v>1.2147058823529413</v>
      </c>
    </row>
    <row r="95" spans="1:5" x14ac:dyDescent="0.3">
      <c r="A95" s="58">
        <v>86</v>
      </c>
      <c r="B95" s="58">
        <f t="shared" si="8"/>
        <v>258</v>
      </c>
      <c r="C95" s="58">
        <f t="shared" si="7"/>
        <v>86</v>
      </c>
      <c r="D95" s="58" t="b">
        <f t="shared" si="9"/>
        <v>0</v>
      </c>
      <c r="E95" s="58">
        <f t="shared" si="6"/>
        <v>1.2151162790697676</v>
      </c>
    </row>
    <row r="96" spans="1:5" x14ac:dyDescent="0.3">
      <c r="A96" s="58">
        <v>87</v>
      </c>
      <c r="B96" s="58">
        <f t="shared" si="8"/>
        <v>261</v>
      </c>
      <c r="C96" s="58">
        <f t="shared" si="7"/>
        <v>87</v>
      </c>
      <c r="D96" s="58" t="b">
        <f t="shared" si="9"/>
        <v>0</v>
      </c>
      <c r="E96" s="58">
        <f t="shared" si="6"/>
        <v>1.2155172413793105</v>
      </c>
    </row>
    <row r="97" spans="1:5" x14ac:dyDescent="0.3">
      <c r="A97" s="58">
        <v>88</v>
      </c>
      <c r="B97" s="58">
        <f t="shared" si="8"/>
        <v>264</v>
      </c>
      <c r="C97" s="58">
        <f t="shared" si="7"/>
        <v>88</v>
      </c>
      <c r="D97" s="58" t="b">
        <f t="shared" si="9"/>
        <v>0</v>
      </c>
      <c r="E97" s="58">
        <f t="shared" si="6"/>
        <v>1.2159090909090911</v>
      </c>
    </row>
    <row r="98" spans="1:5" x14ac:dyDescent="0.3">
      <c r="A98" s="58">
        <v>89</v>
      </c>
      <c r="B98" s="58">
        <f t="shared" si="8"/>
        <v>267</v>
      </c>
      <c r="C98" s="58">
        <f t="shared" si="7"/>
        <v>89</v>
      </c>
      <c r="D98" s="58" t="b">
        <f t="shared" si="9"/>
        <v>0</v>
      </c>
      <c r="E98" s="58">
        <f t="shared" si="6"/>
        <v>1.2162921348314608</v>
      </c>
    </row>
    <row r="99" spans="1:5" x14ac:dyDescent="0.3">
      <c r="A99" s="58">
        <v>90</v>
      </c>
      <c r="B99" s="58">
        <f t="shared" si="8"/>
        <v>270</v>
      </c>
      <c r="C99" s="58">
        <f t="shared" si="7"/>
        <v>90</v>
      </c>
      <c r="D99" s="58" t="b">
        <f t="shared" si="9"/>
        <v>0</v>
      </c>
      <c r="E99" s="58">
        <f t="shared" si="6"/>
        <v>1.2166666666666668</v>
      </c>
    </row>
    <row r="100" spans="1:5" x14ac:dyDescent="0.3">
      <c r="A100" s="58">
        <v>91</v>
      </c>
      <c r="B100" s="58">
        <f t="shared" si="8"/>
        <v>273</v>
      </c>
      <c r="C100" s="58">
        <f t="shared" si="7"/>
        <v>91</v>
      </c>
      <c r="D100" s="58" t="b">
        <f t="shared" si="9"/>
        <v>0</v>
      </c>
      <c r="E100" s="58">
        <f t="shared" si="6"/>
        <v>1.2170329670329672</v>
      </c>
    </row>
    <row r="101" spans="1:5" x14ac:dyDescent="0.3">
      <c r="A101" s="58">
        <v>92</v>
      </c>
      <c r="B101" s="58">
        <f t="shared" si="8"/>
        <v>276</v>
      </c>
      <c r="C101" s="58">
        <f t="shared" si="7"/>
        <v>92</v>
      </c>
      <c r="D101" s="58" t="b">
        <f t="shared" si="9"/>
        <v>0</v>
      </c>
      <c r="E101" s="58">
        <f t="shared" si="6"/>
        <v>1.2173913043478262</v>
      </c>
    </row>
    <row r="102" spans="1:5" x14ac:dyDescent="0.3">
      <c r="A102" s="58">
        <v>93</v>
      </c>
      <c r="B102" s="58">
        <f t="shared" si="8"/>
        <v>279</v>
      </c>
      <c r="C102" s="58">
        <f t="shared" si="7"/>
        <v>93</v>
      </c>
      <c r="D102" s="58" t="b">
        <f t="shared" si="9"/>
        <v>0</v>
      </c>
      <c r="E102" s="58">
        <f t="shared" si="6"/>
        <v>1.217741935483871</v>
      </c>
    </row>
    <row r="103" spans="1:5" x14ac:dyDescent="0.3">
      <c r="A103" s="58">
        <v>94</v>
      </c>
      <c r="B103" s="58">
        <f t="shared" si="8"/>
        <v>282</v>
      </c>
      <c r="C103" s="58">
        <f t="shared" si="7"/>
        <v>94</v>
      </c>
      <c r="D103" s="58" t="b">
        <f t="shared" si="9"/>
        <v>0</v>
      </c>
      <c r="E103" s="58">
        <f t="shared" si="6"/>
        <v>1.2180851063829787</v>
      </c>
    </row>
    <row r="104" spans="1:5" x14ac:dyDescent="0.3">
      <c r="A104" s="58">
        <v>95</v>
      </c>
      <c r="B104" s="58">
        <f t="shared" si="8"/>
        <v>285</v>
      </c>
      <c r="C104" s="58">
        <f t="shared" si="7"/>
        <v>95</v>
      </c>
      <c r="D104" s="58" t="b">
        <f t="shared" si="9"/>
        <v>0</v>
      </c>
      <c r="E104" s="58">
        <f t="shared" si="6"/>
        <v>1.2184210526315791</v>
      </c>
    </row>
    <row r="105" spans="1:5" x14ac:dyDescent="0.3">
      <c r="A105" s="58">
        <v>96</v>
      </c>
      <c r="B105" s="58">
        <f t="shared" si="8"/>
        <v>288</v>
      </c>
      <c r="C105" s="58">
        <f t="shared" si="7"/>
        <v>96</v>
      </c>
      <c r="D105" s="58" t="b">
        <f t="shared" si="9"/>
        <v>0</v>
      </c>
      <c r="E105" s="58">
        <f t="shared" si="6"/>
        <v>1.21875</v>
      </c>
    </row>
    <row r="106" spans="1:5" x14ac:dyDescent="0.3">
      <c r="A106" s="58">
        <v>97</v>
      </c>
      <c r="B106" s="58">
        <f t="shared" si="8"/>
        <v>291</v>
      </c>
      <c r="C106" s="58">
        <f t="shared" si="7"/>
        <v>97</v>
      </c>
      <c r="D106" s="58" t="b">
        <f t="shared" si="9"/>
        <v>0</v>
      </c>
      <c r="E106" s="58">
        <f t="shared" si="6"/>
        <v>1.2190721649484537</v>
      </c>
    </row>
    <row r="107" spans="1:5" x14ac:dyDescent="0.3">
      <c r="A107" s="58">
        <v>98</v>
      </c>
      <c r="B107" s="58">
        <f t="shared" si="8"/>
        <v>294</v>
      </c>
      <c r="C107" s="58">
        <f t="shared" si="7"/>
        <v>98</v>
      </c>
      <c r="D107" s="58" t="b">
        <f t="shared" si="9"/>
        <v>0</v>
      </c>
      <c r="E107" s="58">
        <f t="shared" si="6"/>
        <v>1.2193877551020409</v>
      </c>
    </row>
    <row r="108" spans="1:5" x14ac:dyDescent="0.3">
      <c r="A108" s="58">
        <v>99</v>
      </c>
      <c r="B108" s="58">
        <f t="shared" si="8"/>
        <v>297</v>
      </c>
      <c r="C108" s="58">
        <f t="shared" si="7"/>
        <v>99</v>
      </c>
      <c r="D108" s="58" t="b">
        <f t="shared" si="9"/>
        <v>0</v>
      </c>
      <c r="E108" s="58">
        <f t="shared" si="6"/>
        <v>1.2196969696969697</v>
      </c>
    </row>
    <row r="109" spans="1:5" x14ac:dyDescent="0.3">
      <c r="A109" s="58">
        <v>100</v>
      </c>
      <c r="B109" s="58">
        <f t="shared" si="8"/>
        <v>300</v>
      </c>
      <c r="C109" s="58">
        <f t="shared" si="7"/>
        <v>100</v>
      </c>
      <c r="D109" s="58" t="b">
        <f t="shared" si="9"/>
        <v>0</v>
      </c>
      <c r="E109" s="58">
        <f t="shared" si="6"/>
        <v>1.2200000000000002</v>
      </c>
    </row>
    <row r="110" spans="1:5" x14ac:dyDescent="0.3">
      <c r="A110" s="58">
        <v>101</v>
      </c>
      <c r="B110" s="58">
        <f t="shared" si="8"/>
        <v>303</v>
      </c>
      <c r="C110" s="58">
        <f t="shared" si="7"/>
        <v>101</v>
      </c>
      <c r="D110" s="58" t="b">
        <f t="shared" si="9"/>
        <v>0</v>
      </c>
      <c r="E110" s="58">
        <f t="shared" si="6"/>
        <v>1.2202970297029703</v>
      </c>
    </row>
    <row r="111" spans="1:5" x14ac:dyDescent="0.3">
      <c r="A111" s="58">
        <v>102</v>
      </c>
      <c r="B111" s="58">
        <f t="shared" si="8"/>
        <v>306</v>
      </c>
      <c r="C111" s="58">
        <f t="shared" si="7"/>
        <v>102</v>
      </c>
      <c r="D111" s="58" t="b">
        <f t="shared" si="9"/>
        <v>0</v>
      </c>
      <c r="E111" s="58">
        <f t="shared" si="6"/>
        <v>1.2205882352941178</v>
      </c>
    </row>
    <row r="112" spans="1:5" x14ac:dyDescent="0.3">
      <c r="A112" s="58">
        <v>103</v>
      </c>
      <c r="B112" s="58">
        <f t="shared" si="8"/>
        <v>309</v>
      </c>
      <c r="C112" s="58">
        <f t="shared" si="7"/>
        <v>103</v>
      </c>
      <c r="D112" s="58" t="b">
        <f t="shared" si="9"/>
        <v>0</v>
      </c>
      <c r="E112" s="58">
        <f t="shared" si="6"/>
        <v>1.220873786407767</v>
      </c>
    </row>
    <row r="113" spans="1:5" x14ac:dyDescent="0.3">
      <c r="A113" s="58">
        <v>104</v>
      </c>
      <c r="B113" s="58">
        <f t="shared" si="8"/>
        <v>312</v>
      </c>
      <c r="C113" s="58">
        <f t="shared" si="7"/>
        <v>104</v>
      </c>
      <c r="D113" s="58" t="b">
        <f t="shared" si="9"/>
        <v>0</v>
      </c>
      <c r="E113" s="58">
        <f t="shared" si="6"/>
        <v>1.2211538461538463</v>
      </c>
    </row>
    <row r="114" spans="1:5" x14ac:dyDescent="0.3">
      <c r="A114" s="58">
        <v>105</v>
      </c>
      <c r="B114" s="58">
        <f t="shared" si="8"/>
        <v>315</v>
      </c>
      <c r="C114" s="58">
        <f t="shared" si="7"/>
        <v>105</v>
      </c>
      <c r="D114" s="58" t="b">
        <f t="shared" si="9"/>
        <v>0</v>
      </c>
      <c r="E114" s="58">
        <f t="shared" si="6"/>
        <v>1.2214285714285715</v>
      </c>
    </row>
    <row r="115" spans="1:5" x14ac:dyDescent="0.3">
      <c r="A115" s="58">
        <v>106</v>
      </c>
      <c r="B115" s="58">
        <f t="shared" si="8"/>
        <v>318</v>
      </c>
      <c r="C115" s="58">
        <f t="shared" si="7"/>
        <v>106</v>
      </c>
      <c r="D115" s="58" t="b">
        <f t="shared" si="9"/>
        <v>0</v>
      </c>
      <c r="E115" s="58">
        <f t="shared" si="6"/>
        <v>1.2216981132075473</v>
      </c>
    </row>
    <row r="116" spans="1:5" x14ac:dyDescent="0.3">
      <c r="A116" s="58">
        <v>107</v>
      </c>
      <c r="B116" s="58">
        <f t="shared" si="8"/>
        <v>321</v>
      </c>
      <c r="C116" s="58">
        <f t="shared" si="7"/>
        <v>107</v>
      </c>
      <c r="D116" s="58" t="b">
        <f t="shared" si="9"/>
        <v>0</v>
      </c>
      <c r="E116" s="58">
        <f t="shared" si="6"/>
        <v>1.22196261682243</v>
      </c>
    </row>
    <row r="117" spans="1:5" x14ac:dyDescent="0.3">
      <c r="A117" s="58">
        <v>108</v>
      </c>
      <c r="B117" s="58">
        <f t="shared" si="8"/>
        <v>324</v>
      </c>
      <c r="C117" s="58">
        <f t="shared" si="7"/>
        <v>108</v>
      </c>
      <c r="D117" s="58" t="b">
        <f t="shared" si="9"/>
        <v>0</v>
      </c>
      <c r="E117" s="58">
        <f t="shared" si="6"/>
        <v>1.2222222222222223</v>
      </c>
    </row>
    <row r="118" spans="1:5" x14ac:dyDescent="0.3">
      <c r="A118" s="58">
        <v>109</v>
      </c>
      <c r="B118" s="58">
        <f t="shared" si="8"/>
        <v>327</v>
      </c>
      <c r="C118" s="58">
        <f t="shared" si="7"/>
        <v>109</v>
      </c>
      <c r="D118" s="58" t="b">
        <f t="shared" si="9"/>
        <v>0</v>
      </c>
      <c r="E118" s="58">
        <f t="shared" si="6"/>
        <v>1.2224770642201837</v>
      </c>
    </row>
    <row r="119" spans="1:5" x14ac:dyDescent="0.3">
      <c r="A119" s="58">
        <v>110</v>
      </c>
      <c r="B119" s="58">
        <f t="shared" si="8"/>
        <v>330</v>
      </c>
      <c r="C119" s="58">
        <f t="shared" si="7"/>
        <v>110</v>
      </c>
      <c r="D119" s="58" t="b">
        <f t="shared" si="9"/>
        <v>0</v>
      </c>
      <c r="E119" s="58">
        <f t="shared" si="6"/>
        <v>1.2227272727272729</v>
      </c>
    </row>
    <row r="120" spans="1:5" x14ac:dyDescent="0.3">
      <c r="A120" s="58">
        <v>111</v>
      </c>
      <c r="B120" s="58">
        <f t="shared" si="8"/>
        <v>333</v>
      </c>
      <c r="C120" s="58">
        <f t="shared" si="7"/>
        <v>111</v>
      </c>
      <c r="D120" s="58" t="b">
        <f t="shared" si="9"/>
        <v>0</v>
      </c>
      <c r="E120" s="58">
        <f t="shared" si="6"/>
        <v>1.222972972972973</v>
      </c>
    </row>
    <row r="121" spans="1:5" x14ac:dyDescent="0.3">
      <c r="A121" s="58">
        <v>112</v>
      </c>
      <c r="B121" s="58">
        <f t="shared" si="8"/>
        <v>336</v>
      </c>
      <c r="C121" s="58">
        <f t="shared" si="7"/>
        <v>112</v>
      </c>
      <c r="D121" s="58" t="b">
        <f t="shared" si="9"/>
        <v>0</v>
      </c>
      <c r="E121" s="58">
        <f t="shared" si="6"/>
        <v>1.2232142857142858</v>
      </c>
    </row>
    <row r="122" spans="1:5" x14ac:dyDescent="0.3">
      <c r="A122" s="58">
        <v>113</v>
      </c>
      <c r="B122" s="58">
        <f t="shared" si="8"/>
        <v>339</v>
      </c>
      <c r="C122" s="58">
        <f t="shared" si="7"/>
        <v>113</v>
      </c>
      <c r="D122" s="58" t="b">
        <f t="shared" si="9"/>
        <v>0</v>
      </c>
      <c r="E122" s="58">
        <f t="shared" si="6"/>
        <v>1.2234513274336285</v>
      </c>
    </row>
    <row r="123" spans="1:5" x14ac:dyDescent="0.3">
      <c r="A123" s="58">
        <v>114</v>
      </c>
      <c r="B123" s="58">
        <f t="shared" si="8"/>
        <v>342</v>
      </c>
      <c r="C123" s="58">
        <f t="shared" si="7"/>
        <v>114</v>
      </c>
      <c r="D123" s="58" t="b">
        <f t="shared" si="9"/>
        <v>0</v>
      </c>
      <c r="E123" s="58">
        <f t="shared" si="6"/>
        <v>1.2236842105263159</v>
      </c>
    </row>
    <row r="124" spans="1:5" x14ac:dyDescent="0.3">
      <c r="A124" s="58">
        <v>115</v>
      </c>
      <c r="B124" s="58">
        <f t="shared" si="8"/>
        <v>345</v>
      </c>
      <c r="C124" s="58">
        <f t="shared" si="7"/>
        <v>115</v>
      </c>
      <c r="D124" s="58" t="b">
        <f t="shared" si="9"/>
        <v>0</v>
      </c>
      <c r="E124" s="58">
        <f t="shared" si="6"/>
        <v>1.223913043478261</v>
      </c>
    </row>
    <row r="125" spans="1:5" x14ac:dyDescent="0.3">
      <c r="A125" s="58">
        <v>116</v>
      </c>
      <c r="B125" s="58">
        <f t="shared" si="8"/>
        <v>348</v>
      </c>
      <c r="C125" s="58">
        <f t="shared" si="7"/>
        <v>116</v>
      </c>
      <c r="D125" s="58" t="b">
        <f t="shared" si="9"/>
        <v>0</v>
      </c>
      <c r="E125" s="58">
        <f t="shared" si="6"/>
        <v>1.2241379310344829</v>
      </c>
    </row>
    <row r="126" spans="1:5" x14ac:dyDescent="0.3">
      <c r="A126" s="58">
        <v>117</v>
      </c>
      <c r="B126" s="58">
        <f t="shared" si="8"/>
        <v>351</v>
      </c>
      <c r="C126" s="58">
        <f t="shared" si="7"/>
        <v>117</v>
      </c>
      <c r="D126" s="58" t="b">
        <f t="shared" si="9"/>
        <v>0</v>
      </c>
      <c r="E126" s="58">
        <f t="shared" si="6"/>
        <v>1.2243589743589745</v>
      </c>
    </row>
    <row r="127" spans="1:5" x14ac:dyDescent="0.3">
      <c r="A127" s="58">
        <v>118</v>
      </c>
      <c r="B127" s="58">
        <f t="shared" si="8"/>
        <v>354</v>
      </c>
      <c r="C127" s="58">
        <f t="shared" si="7"/>
        <v>118</v>
      </c>
      <c r="D127" s="58" t="b">
        <f t="shared" si="9"/>
        <v>0</v>
      </c>
      <c r="E127" s="58">
        <f t="shared" si="6"/>
        <v>1.2245762711864407</v>
      </c>
    </row>
    <row r="128" spans="1:5" x14ac:dyDescent="0.3">
      <c r="A128" s="58">
        <v>119</v>
      </c>
      <c r="B128" s="58">
        <f t="shared" si="8"/>
        <v>357</v>
      </c>
      <c r="C128" s="58">
        <f t="shared" si="7"/>
        <v>119</v>
      </c>
      <c r="D128" s="58" t="b">
        <f t="shared" si="9"/>
        <v>0</v>
      </c>
      <c r="E128" s="58">
        <f t="shared" si="6"/>
        <v>1.2247899159663866</v>
      </c>
    </row>
    <row r="129" spans="1:5" x14ac:dyDescent="0.3">
      <c r="A129" s="58">
        <v>120</v>
      </c>
      <c r="B129" s="58">
        <f t="shared" si="8"/>
        <v>360</v>
      </c>
      <c r="C129" s="58">
        <f t="shared" si="7"/>
        <v>120</v>
      </c>
      <c r="D129" s="58" t="b">
        <f t="shared" si="9"/>
        <v>0</v>
      </c>
      <c r="E129" s="58">
        <f t="shared" si="6"/>
        <v>1.2250000000000001</v>
      </c>
    </row>
    <row r="130" spans="1:5" x14ac:dyDescent="0.3">
      <c r="A130" s="58">
        <v>121</v>
      </c>
      <c r="B130" s="58">
        <f t="shared" si="8"/>
        <v>363</v>
      </c>
      <c r="C130" s="58">
        <f t="shared" si="7"/>
        <v>121</v>
      </c>
      <c r="D130" s="58" t="b">
        <f t="shared" si="9"/>
        <v>0</v>
      </c>
      <c r="E130" s="58">
        <f t="shared" si="6"/>
        <v>1.225206611570248</v>
      </c>
    </row>
    <row r="131" spans="1:5" x14ac:dyDescent="0.3">
      <c r="A131" s="58">
        <v>122</v>
      </c>
      <c r="B131" s="58">
        <f t="shared" si="8"/>
        <v>366</v>
      </c>
      <c r="C131" s="58">
        <f t="shared" si="7"/>
        <v>122</v>
      </c>
      <c r="D131" s="58" t="b">
        <f t="shared" si="9"/>
        <v>0</v>
      </c>
      <c r="E131" s="58">
        <f t="shared" si="6"/>
        <v>1.2254098360655739</v>
      </c>
    </row>
    <row r="132" spans="1:5" x14ac:dyDescent="0.3">
      <c r="A132" s="58">
        <v>123</v>
      </c>
      <c r="B132" s="58">
        <f t="shared" si="8"/>
        <v>369</v>
      </c>
      <c r="C132" s="58">
        <f t="shared" si="7"/>
        <v>123</v>
      </c>
      <c r="D132" s="58" t="b">
        <f t="shared" si="9"/>
        <v>0</v>
      </c>
      <c r="E132" s="58">
        <f t="shared" si="6"/>
        <v>1.225609756097561</v>
      </c>
    </row>
    <row r="133" spans="1:5" x14ac:dyDescent="0.3">
      <c r="A133" s="58">
        <v>124</v>
      </c>
      <c r="B133" s="58">
        <f t="shared" si="8"/>
        <v>372</v>
      </c>
      <c r="C133" s="58">
        <f t="shared" si="7"/>
        <v>124</v>
      </c>
      <c r="D133" s="58" t="b">
        <f t="shared" si="9"/>
        <v>0</v>
      </c>
      <c r="E133" s="58">
        <f t="shared" si="6"/>
        <v>1.2258064516129032</v>
      </c>
    </row>
    <row r="134" spans="1:5" x14ac:dyDescent="0.3">
      <c r="A134" s="58">
        <v>125</v>
      </c>
      <c r="B134" s="58">
        <f t="shared" si="8"/>
        <v>375</v>
      </c>
      <c r="C134" s="58">
        <f t="shared" si="7"/>
        <v>125</v>
      </c>
      <c r="D134" s="58" t="b">
        <f t="shared" si="9"/>
        <v>0</v>
      </c>
      <c r="E134" s="58">
        <f t="shared" si="6"/>
        <v>1.226</v>
      </c>
    </row>
    <row r="135" spans="1:5" x14ac:dyDescent="0.3">
      <c r="A135" s="58">
        <v>126</v>
      </c>
      <c r="B135" s="58">
        <f t="shared" si="8"/>
        <v>378</v>
      </c>
      <c r="C135" s="58">
        <f t="shared" si="7"/>
        <v>126</v>
      </c>
      <c r="D135" s="58" t="b">
        <f t="shared" si="9"/>
        <v>0</v>
      </c>
      <c r="E135" s="58">
        <f t="shared" si="6"/>
        <v>1.2261904761904763</v>
      </c>
    </row>
    <row r="136" spans="1:5" x14ac:dyDescent="0.3">
      <c r="A136" s="58">
        <v>127</v>
      </c>
      <c r="B136" s="58">
        <f t="shared" si="8"/>
        <v>381</v>
      </c>
      <c r="C136" s="58">
        <f t="shared" si="7"/>
        <v>127</v>
      </c>
      <c r="D136" s="58" t="b">
        <f t="shared" si="9"/>
        <v>0</v>
      </c>
      <c r="E136" s="58">
        <f t="shared" si="6"/>
        <v>1.2263779527559056</v>
      </c>
    </row>
    <row r="137" spans="1:5" x14ac:dyDescent="0.3">
      <c r="A137" s="58">
        <v>128</v>
      </c>
      <c r="B137" s="58">
        <f t="shared" si="8"/>
        <v>384</v>
      </c>
      <c r="C137" s="58">
        <f t="shared" si="7"/>
        <v>128</v>
      </c>
      <c r="D137" s="58" t="b">
        <f t="shared" si="9"/>
        <v>0</v>
      </c>
      <c r="E137" s="58">
        <f t="shared" si="6"/>
        <v>1.2265625</v>
      </c>
    </row>
    <row r="138" spans="1:5" x14ac:dyDescent="0.3">
      <c r="A138" s="58">
        <v>129</v>
      </c>
      <c r="B138" s="58">
        <f t="shared" si="8"/>
        <v>387</v>
      </c>
      <c r="C138" s="58">
        <f t="shared" si="7"/>
        <v>129</v>
      </c>
      <c r="D138" s="58" t="b">
        <f t="shared" si="9"/>
        <v>0</v>
      </c>
      <c r="E138" s="58">
        <f t="shared" si="6"/>
        <v>1.2267441860465116</v>
      </c>
    </row>
    <row r="139" spans="1:5" x14ac:dyDescent="0.3">
      <c r="A139" s="58">
        <v>130</v>
      </c>
      <c r="B139" s="58">
        <f t="shared" si="8"/>
        <v>390</v>
      </c>
      <c r="C139" s="58">
        <f t="shared" si="7"/>
        <v>130</v>
      </c>
      <c r="D139" s="58" t="b">
        <f t="shared" si="9"/>
        <v>0</v>
      </c>
      <c r="E139" s="58">
        <f t="shared" ref="E139:E202" si="10">IF(D139,$K$4/3*(B139-$B$11),$K$4/3*($B$8-$B$11)+$K$6+$B$9*((B139-$B$8)/B139))</f>
        <v>1.226923076923077</v>
      </c>
    </row>
    <row r="140" spans="1:5" x14ac:dyDescent="0.3">
      <c r="A140" s="58">
        <v>131</v>
      </c>
      <c r="B140" s="58">
        <f t="shared" si="8"/>
        <v>393</v>
      </c>
      <c r="C140" s="58">
        <f t="shared" si="7"/>
        <v>131</v>
      </c>
      <c r="D140" s="58" t="b">
        <f t="shared" si="9"/>
        <v>0</v>
      </c>
      <c r="E140" s="58">
        <f t="shared" si="10"/>
        <v>1.2270992366412214</v>
      </c>
    </row>
    <row r="141" spans="1:5" x14ac:dyDescent="0.3">
      <c r="A141" s="58">
        <v>132</v>
      </c>
      <c r="B141" s="58">
        <f t="shared" si="8"/>
        <v>396</v>
      </c>
      <c r="C141" s="58">
        <f t="shared" ref="C141:C204" si="11">+C140+1</f>
        <v>132</v>
      </c>
      <c r="D141" s="58" t="b">
        <f t="shared" si="9"/>
        <v>0</v>
      </c>
      <c r="E141" s="58">
        <f t="shared" si="10"/>
        <v>1.2272727272727273</v>
      </c>
    </row>
    <row r="142" spans="1:5" x14ac:dyDescent="0.3">
      <c r="A142" s="58">
        <v>133</v>
      </c>
      <c r="B142" s="58">
        <f t="shared" si="8"/>
        <v>399</v>
      </c>
      <c r="C142" s="58">
        <f t="shared" si="11"/>
        <v>133</v>
      </c>
      <c r="D142" s="58" t="b">
        <f t="shared" si="9"/>
        <v>0</v>
      </c>
      <c r="E142" s="58">
        <f t="shared" si="10"/>
        <v>1.2274436090225564</v>
      </c>
    </row>
    <row r="143" spans="1:5" x14ac:dyDescent="0.3">
      <c r="A143" s="58">
        <v>134</v>
      </c>
      <c r="B143" s="58">
        <f t="shared" si="8"/>
        <v>402</v>
      </c>
      <c r="C143" s="58">
        <f t="shared" si="11"/>
        <v>134</v>
      </c>
      <c r="D143" s="58" t="b">
        <f t="shared" si="9"/>
        <v>0</v>
      </c>
      <c r="E143" s="58">
        <f t="shared" si="10"/>
        <v>1.2276119402985075</v>
      </c>
    </row>
    <row r="144" spans="1:5" x14ac:dyDescent="0.3">
      <c r="A144" s="58">
        <v>135</v>
      </c>
      <c r="B144" s="58">
        <f t="shared" si="8"/>
        <v>405</v>
      </c>
      <c r="C144" s="58">
        <f t="shared" si="11"/>
        <v>135</v>
      </c>
      <c r="D144" s="58" t="b">
        <f t="shared" si="9"/>
        <v>0</v>
      </c>
      <c r="E144" s="58">
        <f t="shared" si="10"/>
        <v>1.2277777777777779</v>
      </c>
    </row>
    <row r="145" spans="1:5" x14ac:dyDescent="0.3">
      <c r="A145" s="58">
        <v>136</v>
      </c>
      <c r="B145" s="58">
        <f t="shared" si="8"/>
        <v>408</v>
      </c>
      <c r="C145" s="58">
        <f t="shared" si="11"/>
        <v>136</v>
      </c>
      <c r="D145" s="58" t="b">
        <f t="shared" si="9"/>
        <v>0</v>
      </c>
      <c r="E145" s="58">
        <f t="shared" si="10"/>
        <v>1.2279411764705883</v>
      </c>
    </row>
    <row r="146" spans="1:5" x14ac:dyDescent="0.3">
      <c r="A146" s="58">
        <v>137</v>
      </c>
      <c r="B146" s="58">
        <f t="shared" si="8"/>
        <v>411</v>
      </c>
      <c r="C146" s="58">
        <f t="shared" si="11"/>
        <v>137</v>
      </c>
      <c r="D146" s="58" t="b">
        <f t="shared" si="9"/>
        <v>0</v>
      </c>
      <c r="E146" s="58">
        <f t="shared" si="10"/>
        <v>1.228102189781022</v>
      </c>
    </row>
    <row r="147" spans="1:5" x14ac:dyDescent="0.3">
      <c r="A147" s="58">
        <v>138</v>
      </c>
      <c r="B147" s="58">
        <f t="shared" si="8"/>
        <v>414</v>
      </c>
      <c r="C147" s="58">
        <f t="shared" si="11"/>
        <v>138</v>
      </c>
      <c r="D147" s="58" t="b">
        <f t="shared" si="9"/>
        <v>0</v>
      </c>
      <c r="E147" s="58">
        <f t="shared" si="10"/>
        <v>1.2282608695652175</v>
      </c>
    </row>
    <row r="148" spans="1:5" x14ac:dyDescent="0.3">
      <c r="A148" s="58">
        <v>139</v>
      </c>
      <c r="B148" s="58">
        <f t="shared" si="8"/>
        <v>417</v>
      </c>
      <c r="C148" s="58">
        <f t="shared" si="11"/>
        <v>139</v>
      </c>
      <c r="D148" s="58" t="b">
        <f t="shared" si="9"/>
        <v>0</v>
      </c>
      <c r="E148" s="58">
        <f t="shared" si="10"/>
        <v>1.2284172661870505</v>
      </c>
    </row>
    <row r="149" spans="1:5" x14ac:dyDescent="0.3">
      <c r="A149" s="58">
        <v>140</v>
      </c>
      <c r="B149" s="58">
        <f t="shared" si="8"/>
        <v>420</v>
      </c>
      <c r="C149" s="58">
        <f t="shared" si="11"/>
        <v>140</v>
      </c>
      <c r="D149" s="58" t="b">
        <f t="shared" si="9"/>
        <v>0</v>
      </c>
      <c r="E149" s="58">
        <f t="shared" si="10"/>
        <v>1.2285714285714286</v>
      </c>
    </row>
    <row r="150" spans="1:5" x14ac:dyDescent="0.3">
      <c r="A150" s="58">
        <v>141</v>
      </c>
      <c r="B150" s="58">
        <f t="shared" si="8"/>
        <v>423</v>
      </c>
      <c r="C150" s="58">
        <f t="shared" si="11"/>
        <v>141</v>
      </c>
      <c r="D150" s="58" t="b">
        <f t="shared" si="9"/>
        <v>0</v>
      </c>
      <c r="E150" s="58">
        <f t="shared" si="10"/>
        <v>1.2287234042553192</v>
      </c>
    </row>
    <row r="151" spans="1:5" x14ac:dyDescent="0.3">
      <c r="A151" s="58">
        <v>142</v>
      </c>
      <c r="B151" s="58">
        <f t="shared" ref="B151:B212" si="12">3*A151</f>
        <v>426</v>
      </c>
      <c r="C151" s="58">
        <f t="shared" si="11"/>
        <v>142</v>
      </c>
      <c r="D151" s="58" t="b">
        <f t="shared" ref="D151:D212" si="13">AND(B151&gt;6,B151&lt;=$B$8)</f>
        <v>0</v>
      </c>
      <c r="E151" s="58">
        <f t="shared" si="10"/>
        <v>1.2288732394366197</v>
      </c>
    </row>
    <row r="152" spans="1:5" x14ac:dyDescent="0.3">
      <c r="A152" s="58">
        <v>143</v>
      </c>
      <c r="B152" s="58">
        <f t="shared" si="12"/>
        <v>429</v>
      </c>
      <c r="C152" s="58">
        <f t="shared" si="11"/>
        <v>143</v>
      </c>
      <c r="D152" s="58" t="b">
        <f t="shared" si="13"/>
        <v>0</v>
      </c>
      <c r="E152" s="58">
        <f t="shared" si="10"/>
        <v>1.2290209790209792</v>
      </c>
    </row>
    <row r="153" spans="1:5" x14ac:dyDescent="0.3">
      <c r="A153" s="58">
        <v>144</v>
      </c>
      <c r="B153" s="58">
        <f t="shared" si="12"/>
        <v>432</v>
      </c>
      <c r="C153" s="58">
        <f t="shared" si="11"/>
        <v>144</v>
      </c>
      <c r="D153" s="58" t="b">
        <f t="shared" si="13"/>
        <v>0</v>
      </c>
      <c r="E153" s="58">
        <f t="shared" si="10"/>
        <v>1.2291666666666667</v>
      </c>
    </row>
    <row r="154" spans="1:5" x14ac:dyDescent="0.3">
      <c r="A154" s="58">
        <v>145</v>
      </c>
      <c r="B154" s="58">
        <f t="shared" si="12"/>
        <v>435</v>
      </c>
      <c r="C154" s="58">
        <f t="shared" si="11"/>
        <v>145</v>
      </c>
      <c r="D154" s="58" t="b">
        <f t="shared" si="13"/>
        <v>0</v>
      </c>
      <c r="E154" s="58">
        <f t="shared" si="10"/>
        <v>1.2293103448275864</v>
      </c>
    </row>
    <row r="155" spans="1:5" x14ac:dyDescent="0.3">
      <c r="A155" s="58">
        <v>146</v>
      </c>
      <c r="B155" s="58">
        <f t="shared" si="12"/>
        <v>438</v>
      </c>
      <c r="C155" s="58">
        <f t="shared" si="11"/>
        <v>146</v>
      </c>
      <c r="D155" s="58" t="b">
        <f t="shared" si="13"/>
        <v>0</v>
      </c>
      <c r="E155" s="58">
        <f t="shared" si="10"/>
        <v>1.2294520547945207</v>
      </c>
    </row>
    <row r="156" spans="1:5" x14ac:dyDescent="0.3">
      <c r="A156" s="58">
        <v>147</v>
      </c>
      <c r="B156" s="58">
        <f t="shared" si="12"/>
        <v>441</v>
      </c>
      <c r="C156" s="58">
        <f t="shared" si="11"/>
        <v>147</v>
      </c>
      <c r="D156" s="58" t="b">
        <f t="shared" si="13"/>
        <v>0</v>
      </c>
      <c r="E156" s="58">
        <f t="shared" si="10"/>
        <v>1.2295918367346941</v>
      </c>
    </row>
    <row r="157" spans="1:5" x14ac:dyDescent="0.3">
      <c r="A157" s="58">
        <v>148</v>
      </c>
      <c r="B157" s="58">
        <f t="shared" si="12"/>
        <v>444</v>
      </c>
      <c r="C157" s="58">
        <f t="shared" si="11"/>
        <v>148</v>
      </c>
      <c r="D157" s="58" t="b">
        <f t="shared" si="13"/>
        <v>0</v>
      </c>
      <c r="E157" s="58">
        <f t="shared" si="10"/>
        <v>1.2297297297297298</v>
      </c>
    </row>
    <row r="158" spans="1:5" x14ac:dyDescent="0.3">
      <c r="A158" s="58">
        <v>149</v>
      </c>
      <c r="B158" s="58">
        <f t="shared" si="12"/>
        <v>447</v>
      </c>
      <c r="C158" s="58">
        <f t="shared" si="11"/>
        <v>149</v>
      </c>
      <c r="D158" s="58" t="b">
        <f t="shared" si="13"/>
        <v>0</v>
      </c>
      <c r="E158" s="58">
        <f t="shared" si="10"/>
        <v>1.2298657718120807</v>
      </c>
    </row>
    <row r="159" spans="1:5" x14ac:dyDescent="0.3">
      <c r="A159" s="58">
        <v>150</v>
      </c>
      <c r="B159" s="58">
        <f t="shared" si="12"/>
        <v>450</v>
      </c>
      <c r="C159" s="58">
        <f t="shared" si="11"/>
        <v>150</v>
      </c>
      <c r="D159" s="58" t="b">
        <f t="shared" si="13"/>
        <v>0</v>
      </c>
      <c r="E159" s="58">
        <f t="shared" si="10"/>
        <v>1.23</v>
      </c>
    </row>
    <row r="160" spans="1:5" x14ac:dyDescent="0.3">
      <c r="A160" s="58">
        <v>151</v>
      </c>
      <c r="B160" s="58">
        <f t="shared" si="12"/>
        <v>453</v>
      </c>
      <c r="C160" s="58">
        <f t="shared" si="11"/>
        <v>151</v>
      </c>
      <c r="D160" s="58" t="b">
        <f t="shared" si="13"/>
        <v>0</v>
      </c>
      <c r="E160" s="58">
        <f t="shared" si="10"/>
        <v>1.2301324503311259</v>
      </c>
    </row>
    <row r="161" spans="1:5" x14ac:dyDescent="0.3">
      <c r="A161" s="58">
        <v>152</v>
      </c>
      <c r="B161" s="58">
        <f t="shared" si="12"/>
        <v>456</v>
      </c>
      <c r="C161" s="58">
        <f t="shared" si="11"/>
        <v>152</v>
      </c>
      <c r="D161" s="58" t="b">
        <f t="shared" si="13"/>
        <v>0</v>
      </c>
      <c r="E161" s="58">
        <f t="shared" si="10"/>
        <v>1.2302631578947369</v>
      </c>
    </row>
    <row r="162" spans="1:5" x14ac:dyDescent="0.3">
      <c r="A162" s="58">
        <v>153</v>
      </c>
      <c r="B162" s="58">
        <f t="shared" si="12"/>
        <v>459</v>
      </c>
      <c r="C162" s="58">
        <f t="shared" si="11"/>
        <v>153</v>
      </c>
      <c r="D162" s="58" t="b">
        <f t="shared" si="13"/>
        <v>0</v>
      </c>
      <c r="E162" s="58">
        <f t="shared" si="10"/>
        <v>1.2303921568627452</v>
      </c>
    </row>
    <row r="163" spans="1:5" x14ac:dyDescent="0.3">
      <c r="A163" s="58">
        <v>154</v>
      </c>
      <c r="B163" s="58">
        <f t="shared" si="12"/>
        <v>462</v>
      </c>
      <c r="C163" s="58">
        <f t="shared" si="11"/>
        <v>154</v>
      </c>
      <c r="D163" s="58" t="b">
        <f t="shared" si="13"/>
        <v>0</v>
      </c>
      <c r="E163" s="58">
        <f t="shared" si="10"/>
        <v>1.2305194805194806</v>
      </c>
    </row>
    <row r="164" spans="1:5" x14ac:dyDescent="0.3">
      <c r="A164" s="58">
        <v>155</v>
      </c>
      <c r="B164" s="58">
        <f t="shared" si="12"/>
        <v>465</v>
      </c>
      <c r="C164" s="58">
        <f t="shared" si="11"/>
        <v>155</v>
      </c>
      <c r="D164" s="58" t="b">
        <f t="shared" si="13"/>
        <v>0</v>
      </c>
      <c r="E164" s="58">
        <f t="shared" si="10"/>
        <v>1.2306451612903226</v>
      </c>
    </row>
    <row r="165" spans="1:5" x14ac:dyDescent="0.3">
      <c r="A165" s="58">
        <v>156</v>
      </c>
      <c r="B165" s="58">
        <f t="shared" si="12"/>
        <v>468</v>
      </c>
      <c r="C165" s="58">
        <f t="shared" si="11"/>
        <v>156</v>
      </c>
      <c r="D165" s="58" t="b">
        <f t="shared" si="13"/>
        <v>0</v>
      </c>
      <c r="E165" s="58">
        <f t="shared" si="10"/>
        <v>1.2307692307692308</v>
      </c>
    </row>
    <row r="166" spans="1:5" x14ac:dyDescent="0.3">
      <c r="A166" s="58">
        <v>157</v>
      </c>
      <c r="B166" s="58">
        <f t="shared" si="12"/>
        <v>471</v>
      </c>
      <c r="C166" s="58">
        <f t="shared" si="11"/>
        <v>157</v>
      </c>
      <c r="D166" s="58" t="b">
        <f t="shared" si="13"/>
        <v>0</v>
      </c>
      <c r="E166" s="58">
        <f t="shared" si="10"/>
        <v>1.2308917197452229</v>
      </c>
    </row>
    <row r="167" spans="1:5" x14ac:dyDescent="0.3">
      <c r="A167" s="58">
        <v>158</v>
      </c>
      <c r="B167" s="58">
        <f t="shared" si="12"/>
        <v>474</v>
      </c>
      <c r="C167" s="58">
        <f t="shared" si="11"/>
        <v>158</v>
      </c>
      <c r="D167" s="58" t="b">
        <f t="shared" si="13"/>
        <v>0</v>
      </c>
      <c r="E167" s="58">
        <f t="shared" si="10"/>
        <v>1.2310126582278482</v>
      </c>
    </row>
    <row r="168" spans="1:5" x14ac:dyDescent="0.3">
      <c r="A168" s="58">
        <v>159</v>
      </c>
      <c r="B168" s="58">
        <f t="shared" si="12"/>
        <v>477</v>
      </c>
      <c r="C168" s="58">
        <f t="shared" si="11"/>
        <v>159</v>
      </c>
      <c r="D168" s="58" t="b">
        <f t="shared" si="13"/>
        <v>0</v>
      </c>
      <c r="E168" s="58">
        <f t="shared" si="10"/>
        <v>1.2311320754716981</v>
      </c>
    </row>
    <row r="169" spans="1:5" x14ac:dyDescent="0.3">
      <c r="A169" s="58">
        <v>160</v>
      </c>
      <c r="B169" s="58">
        <f t="shared" si="12"/>
        <v>480</v>
      </c>
      <c r="C169" s="58">
        <f t="shared" si="11"/>
        <v>160</v>
      </c>
      <c r="D169" s="58" t="b">
        <f t="shared" si="13"/>
        <v>0</v>
      </c>
      <c r="E169" s="58">
        <f t="shared" si="10"/>
        <v>1.2312500000000002</v>
      </c>
    </row>
    <row r="170" spans="1:5" x14ac:dyDescent="0.3">
      <c r="A170" s="58">
        <v>161</v>
      </c>
      <c r="B170" s="58">
        <f t="shared" si="12"/>
        <v>483</v>
      </c>
      <c r="C170" s="58">
        <f t="shared" si="11"/>
        <v>161</v>
      </c>
      <c r="D170" s="58" t="b">
        <f t="shared" si="13"/>
        <v>0</v>
      </c>
      <c r="E170" s="58">
        <f t="shared" si="10"/>
        <v>1.2313664596273293</v>
      </c>
    </row>
    <row r="171" spans="1:5" x14ac:dyDescent="0.3">
      <c r="A171" s="58">
        <v>162</v>
      </c>
      <c r="B171" s="58">
        <f t="shared" si="12"/>
        <v>486</v>
      </c>
      <c r="C171" s="58">
        <f t="shared" si="11"/>
        <v>162</v>
      </c>
      <c r="D171" s="58" t="b">
        <f t="shared" si="13"/>
        <v>0</v>
      </c>
      <c r="E171" s="58">
        <f t="shared" si="10"/>
        <v>1.2314814814814816</v>
      </c>
    </row>
    <row r="172" spans="1:5" x14ac:dyDescent="0.3">
      <c r="A172" s="58">
        <v>163</v>
      </c>
      <c r="B172" s="58">
        <f t="shared" si="12"/>
        <v>489</v>
      </c>
      <c r="C172" s="58">
        <f t="shared" si="11"/>
        <v>163</v>
      </c>
      <c r="D172" s="58" t="b">
        <f t="shared" si="13"/>
        <v>0</v>
      </c>
      <c r="E172" s="58">
        <f t="shared" si="10"/>
        <v>1.23159509202454</v>
      </c>
    </row>
    <row r="173" spans="1:5" x14ac:dyDescent="0.3">
      <c r="A173" s="58">
        <v>164</v>
      </c>
      <c r="B173" s="58">
        <f t="shared" si="12"/>
        <v>492</v>
      </c>
      <c r="C173" s="58">
        <f t="shared" si="11"/>
        <v>164</v>
      </c>
      <c r="D173" s="58" t="b">
        <f t="shared" si="13"/>
        <v>0</v>
      </c>
      <c r="E173" s="58">
        <f t="shared" si="10"/>
        <v>1.2317073170731709</v>
      </c>
    </row>
    <row r="174" spans="1:5" x14ac:dyDescent="0.3">
      <c r="A174" s="58">
        <v>165</v>
      </c>
      <c r="B174" s="58">
        <f t="shared" si="12"/>
        <v>495</v>
      </c>
      <c r="C174" s="58">
        <f t="shared" si="11"/>
        <v>165</v>
      </c>
      <c r="D174" s="58" t="b">
        <f t="shared" si="13"/>
        <v>0</v>
      </c>
      <c r="E174" s="58">
        <f t="shared" si="10"/>
        <v>1.2318181818181819</v>
      </c>
    </row>
    <row r="175" spans="1:5" x14ac:dyDescent="0.3">
      <c r="A175" s="58">
        <v>166</v>
      </c>
      <c r="B175" s="58">
        <f t="shared" si="12"/>
        <v>498</v>
      </c>
      <c r="C175" s="58">
        <f t="shared" si="11"/>
        <v>166</v>
      </c>
      <c r="D175" s="58" t="b">
        <f t="shared" si="13"/>
        <v>0</v>
      </c>
      <c r="E175" s="58">
        <f t="shared" si="10"/>
        <v>1.2319277108433735</v>
      </c>
    </row>
    <row r="176" spans="1:5" x14ac:dyDescent="0.3">
      <c r="A176" s="58">
        <v>167</v>
      </c>
      <c r="B176" s="58">
        <f t="shared" si="12"/>
        <v>501</v>
      </c>
      <c r="C176" s="58">
        <f t="shared" si="11"/>
        <v>167</v>
      </c>
      <c r="D176" s="58" t="b">
        <f t="shared" si="13"/>
        <v>0</v>
      </c>
      <c r="E176" s="58">
        <f t="shared" si="10"/>
        <v>1.2320359281437128</v>
      </c>
    </row>
    <row r="177" spans="1:5" x14ac:dyDescent="0.3">
      <c r="A177" s="58">
        <v>168</v>
      </c>
      <c r="B177" s="58">
        <f t="shared" si="12"/>
        <v>504</v>
      </c>
      <c r="C177" s="58">
        <f t="shared" si="11"/>
        <v>168</v>
      </c>
      <c r="D177" s="58" t="b">
        <f t="shared" si="13"/>
        <v>0</v>
      </c>
      <c r="E177" s="58">
        <f t="shared" si="10"/>
        <v>1.2321428571428572</v>
      </c>
    </row>
    <row r="178" spans="1:5" x14ac:dyDescent="0.3">
      <c r="A178" s="58">
        <v>169</v>
      </c>
      <c r="B178" s="58">
        <f t="shared" si="12"/>
        <v>507</v>
      </c>
      <c r="C178" s="58">
        <f t="shared" si="11"/>
        <v>169</v>
      </c>
      <c r="D178" s="58" t="b">
        <f t="shared" si="13"/>
        <v>0</v>
      </c>
      <c r="E178" s="58">
        <f t="shared" si="10"/>
        <v>1.2322485207100593</v>
      </c>
    </row>
    <row r="179" spans="1:5" x14ac:dyDescent="0.3">
      <c r="A179" s="58">
        <v>170</v>
      </c>
      <c r="B179" s="58">
        <f t="shared" si="12"/>
        <v>510</v>
      </c>
      <c r="C179" s="58">
        <f t="shared" si="11"/>
        <v>170</v>
      </c>
      <c r="D179" s="58" t="b">
        <f t="shared" si="13"/>
        <v>0</v>
      </c>
      <c r="E179" s="58">
        <f t="shared" si="10"/>
        <v>1.2323529411764707</v>
      </c>
    </row>
    <row r="180" spans="1:5" x14ac:dyDescent="0.3">
      <c r="A180" s="58">
        <v>171</v>
      </c>
      <c r="B180" s="58">
        <f t="shared" si="12"/>
        <v>513</v>
      </c>
      <c r="C180" s="58">
        <f t="shared" si="11"/>
        <v>171</v>
      </c>
      <c r="D180" s="58" t="b">
        <f t="shared" si="13"/>
        <v>0</v>
      </c>
      <c r="E180" s="58">
        <f t="shared" si="10"/>
        <v>1.2324561403508774</v>
      </c>
    </row>
    <row r="181" spans="1:5" x14ac:dyDescent="0.3">
      <c r="A181" s="58">
        <v>172</v>
      </c>
      <c r="B181" s="58">
        <f t="shared" si="12"/>
        <v>516</v>
      </c>
      <c r="C181" s="58">
        <f t="shared" si="11"/>
        <v>172</v>
      </c>
      <c r="D181" s="58" t="b">
        <f t="shared" si="13"/>
        <v>0</v>
      </c>
      <c r="E181" s="58">
        <f t="shared" si="10"/>
        <v>1.2325581395348837</v>
      </c>
    </row>
    <row r="182" spans="1:5" x14ac:dyDescent="0.3">
      <c r="A182" s="58">
        <v>173</v>
      </c>
      <c r="B182" s="58">
        <f t="shared" si="12"/>
        <v>519</v>
      </c>
      <c r="C182" s="58">
        <f t="shared" si="11"/>
        <v>173</v>
      </c>
      <c r="D182" s="58" t="b">
        <f t="shared" si="13"/>
        <v>0</v>
      </c>
      <c r="E182" s="58">
        <f t="shared" si="10"/>
        <v>1.2326589595375723</v>
      </c>
    </row>
    <row r="183" spans="1:5" x14ac:dyDescent="0.3">
      <c r="A183" s="58">
        <v>174</v>
      </c>
      <c r="B183" s="58">
        <f t="shared" si="12"/>
        <v>522</v>
      </c>
      <c r="C183" s="58">
        <f t="shared" si="11"/>
        <v>174</v>
      </c>
      <c r="D183" s="58" t="b">
        <f t="shared" si="13"/>
        <v>0</v>
      </c>
      <c r="E183" s="58">
        <f t="shared" si="10"/>
        <v>1.2327586206896552</v>
      </c>
    </row>
    <row r="184" spans="1:5" x14ac:dyDescent="0.3">
      <c r="A184" s="58">
        <v>175</v>
      </c>
      <c r="B184" s="58">
        <f t="shared" si="12"/>
        <v>525</v>
      </c>
      <c r="C184" s="58">
        <f t="shared" si="11"/>
        <v>175</v>
      </c>
      <c r="D184" s="58" t="b">
        <f t="shared" si="13"/>
        <v>0</v>
      </c>
      <c r="E184" s="58">
        <f t="shared" si="10"/>
        <v>1.2328571428571429</v>
      </c>
    </row>
    <row r="185" spans="1:5" x14ac:dyDescent="0.3">
      <c r="A185" s="58">
        <v>176</v>
      </c>
      <c r="B185" s="58">
        <f t="shared" si="12"/>
        <v>528</v>
      </c>
      <c r="C185" s="58">
        <f t="shared" si="11"/>
        <v>176</v>
      </c>
      <c r="D185" s="58" t="b">
        <f t="shared" si="13"/>
        <v>0</v>
      </c>
      <c r="E185" s="58">
        <f t="shared" si="10"/>
        <v>1.2329545454545454</v>
      </c>
    </row>
    <row r="186" spans="1:5" x14ac:dyDescent="0.3">
      <c r="A186" s="58">
        <v>177</v>
      </c>
      <c r="B186" s="58">
        <f t="shared" si="12"/>
        <v>531</v>
      </c>
      <c r="C186" s="58">
        <f t="shared" si="11"/>
        <v>177</v>
      </c>
      <c r="D186" s="58" t="b">
        <f t="shared" si="13"/>
        <v>0</v>
      </c>
      <c r="E186" s="58">
        <f t="shared" si="10"/>
        <v>1.2330508474576272</v>
      </c>
    </row>
    <row r="187" spans="1:5" x14ac:dyDescent="0.3">
      <c r="A187" s="58">
        <v>178</v>
      </c>
      <c r="B187" s="58">
        <f t="shared" si="12"/>
        <v>534</v>
      </c>
      <c r="C187" s="58">
        <f t="shared" si="11"/>
        <v>178</v>
      </c>
      <c r="D187" s="58" t="b">
        <f t="shared" si="13"/>
        <v>0</v>
      </c>
      <c r="E187" s="58">
        <f t="shared" si="10"/>
        <v>1.2331460674157304</v>
      </c>
    </row>
    <row r="188" spans="1:5" x14ac:dyDescent="0.3">
      <c r="A188" s="58">
        <v>179</v>
      </c>
      <c r="B188" s="58">
        <f t="shared" si="12"/>
        <v>537</v>
      </c>
      <c r="C188" s="58">
        <f t="shared" si="11"/>
        <v>179</v>
      </c>
      <c r="D188" s="58" t="b">
        <f t="shared" si="13"/>
        <v>0</v>
      </c>
      <c r="E188" s="58">
        <f t="shared" si="10"/>
        <v>1.2332402234636872</v>
      </c>
    </row>
    <row r="189" spans="1:5" x14ac:dyDescent="0.3">
      <c r="A189" s="58">
        <v>180</v>
      </c>
      <c r="B189" s="58">
        <f t="shared" si="12"/>
        <v>540</v>
      </c>
      <c r="C189" s="58">
        <f t="shared" si="11"/>
        <v>180</v>
      </c>
      <c r="D189" s="58" t="b">
        <f t="shared" si="13"/>
        <v>0</v>
      </c>
      <c r="E189" s="58">
        <f t="shared" si="10"/>
        <v>1.2333333333333334</v>
      </c>
    </row>
    <row r="190" spans="1:5" x14ac:dyDescent="0.3">
      <c r="A190" s="58">
        <v>181</v>
      </c>
      <c r="B190" s="58">
        <f t="shared" si="12"/>
        <v>543</v>
      </c>
      <c r="C190" s="58">
        <f t="shared" si="11"/>
        <v>181</v>
      </c>
      <c r="D190" s="58" t="b">
        <f t="shared" si="13"/>
        <v>0</v>
      </c>
      <c r="E190" s="58">
        <f t="shared" si="10"/>
        <v>1.233425414364641</v>
      </c>
    </row>
    <row r="191" spans="1:5" x14ac:dyDescent="0.3">
      <c r="A191" s="58">
        <v>182</v>
      </c>
      <c r="B191" s="58">
        <f t="shared" si="12"/>
        <v>546</v>
      </c>
      <c r="C191" s="58">
        <f t="shared" si="11"/>
        <v>182</v>
      </c>
      <c r="D191" s="58" t="b">
        <f t="shared" si="13"/>
        <v>0</v>
      </c>
      <c r="E191" s="58">
        <f t="shared" si="10"/>
        <v>1.2335164835164836</v>
      </c>
    </row>
    <row r="192" spans="1:5" x14ac:dyDescent="0.3">
      <c r="A192" s="58">
        <v>183</v>
      </c>
      <c r="B192" s="58">
        <f t="shared" si="12"/>
        <v>549</v>
      </c>
      <c r="C192" s="58">
        <f t="shared" si="11"/>
        <v>183</v>
      </c>
      <c r="D192" s="58" t="b">
        <f t="shared" si="13"/>
        <v>0</v>
      </c>
      <c r="E192" s="58">
        <f t="shared" si="10"/>
        <v>1.2336065573770494</v>
      </c>
    </row>
    <row r="193" spans="1:5" x14ac:dyDescent="0.3">
      <c r="A193" s="58">
        <v>184</v>
      </c>
      <c r="B193" s="58">
        <f t="shared" si="12"/>
        <v>552</v>
      </c>
      <c r="C193" s="58">
        <f t="shared" si="11"/>
        <v>184</v>
      </c>
      <c r="D193" s="58" t="b">
        <f t="shared" si="13"/>
        <v>0</v>
      </c>
      <c r="E193" s="58">
        <f t="shared" si="10"/>
        <v>1.2336956521739131</v>
      </c>
    </row>
    <row r="194" spans="1:5" x14ac:dyDescent="0.3">
      <c r="A194" s="58">
        <v>185</v>
      </c>
      <c r="B194" s="58">
        <f t="shared" si="12"/>
        <v>555</v>
      </c>
      <c r="C194" s="58">
        <f t="shared" si="11"/>
        <v>185</v>
      </c>
      <c r="D194" s="58" t="b">
        <f t="shared" si="13"/>
        <v>0</v>
      </c>
      <c r="E194" s="58">
        <f t="shared" si="10"/>
        <v>1.2337837837837839</v>
      </c>
    </row>
    <row r="195" spans="1:5" x14ac:dyDescent="0.3">
      <c r="A195" s="58">
        <v>186</v>
      </c>
      <c r="B195" s="58">
        <f t="shared" si="12"/>
        <v>558</v>
      </c>
      <c r="C195" s="58">
        <f t="shared" si="11"/>
        <v>186</v>
      </c>
      <c r="D195" s="58" t="b">
        <f t="shared" si="13"/>
        <v>0</v>
      </c>
      <c r="E195" s="58">
        <f t="shared" si="10"/>
        <v>1.2338709677419355</v>
      </c>
    </row>
    <row r="196" spans="1:5" x14ac:dyDescent="0.3">
      <c r="A196" s="58">
        <v>187</v>
      </c>
      <c r="B196" s="58">
        <f t="shared" si="12"/>
        <v>561</v>
      </c>
      <c r="C196" s="58">
        <f t="shared" si="11"/>
        <v>187</v>
      </c>
      <c r="D196" s="58" t="b">
        <f t="shared" si="13"/>
        <v>0</v>
      </c>
      <c r="E196" s="58">
        <f t="shared" si="10"/>
        <v>1.2339572192513371</v>
      </c>
    </row>
    <row r="197" spans="1:5" x14ac:dyDescent="0.3">
      <c r="A197" s="58">
        <v>188</v>
      </c>
      <c r="B197" s="58">
        <f t="shared" si="12"/>
        <v>564</v>
      </c>
      <c r="C197" s="58">
        <f t="shared" si="11"/>
        <v>188</v>
      </c>
      <c r="D197" s="58" t="b">
        <f t="shared" si="13"/>
        <v>0</v>
      </c>
      <c r="E197" s="58">
        <f t="shared" si="10"/>
        <v>1.2340425531914894</v>
      </c>
    </row>
    <row r="198" spans="1:5" x14ac:dyDescent="0.3">
      <c r="A198" s="58">
        <v>189</v>
      </c>
      <c r="B198" s="58">
        <f t="shared" si="12"/>
        <v>567</v>
      </c>
      <c r="C198" s="58">
        <f t="shared" si="11"/>
        <v>189</v>
      </c>
      <c r="D198" s="58" t="b">
        <f t="shared" si="13"/>
        <v>0</v>
      </c>
      <c r="E198" s="58">
        <f t="shared" si="10"/>
        <v>1.2341269841269842</v>
      </c>
    </row>
    <row r="199" spans="1:5" x14ac:dyDescent="0.3">
      <c r="A199" s="58">
        <v>190</v>
      </c>
      <c r="B199" s="58">
        <f t="shared" si="12"/>
        <v>570</v>
      </c>
      <c r="C199" s="58">
        <f t="shared" si="11"/>
        <v>190</v>
      </c>
      <c r="D199" s="58" t="b">
        <f t="shared" si="13"/>
        <v>0</v>
      </c>
      <c r="E199" s="58">
        <f t="shared" si="10"/>
        <v>1.2342105263157896</v>
      </c>
    </row>
    <row r="200" spans="1:5" x14ac:dyDescent="0.3">
      <c r="A200" s="58">
        <v>191</v>
      </c>
      <c r="B200" s="58">
        <f t="shared" si="12"/>
        <v>573</v>
      </c>
      <c r="C200" s="58">
        <f t="shared" si="11"/>
        <v>191</v>
      </c>
      <c r="D200" s="58" t="b">
        <f t="shared" si="13"/>
        <v>0</v>
      </c>
      <c r="E200" s="58">
        <f t="shared" si="10"/>
        <v>1.2342931937172776</v>
      </c>
    </row>
    <row r="201" spans="1:5" x14ac:dyDescent="0.3">
      <c r="A201" s="58">
        <v>192</v>
      </c>
      <c r="B201" s="58">
        <f t="shared" si="12"/>
        <v>576</v>
      </c>
      <c r="C201" s="58">
        <f t="shared" si="11"/>
        <v>192</v>
      </c>
      <c r="D201" s="58" t="b">
        <f t="shared" si="13"/>
        <v>0</v>
      </c>
      <c r="E201" s="58">
        <f t="shared" si="10"/>
        <v>1.234375</v>
      </c>
    </row>
    <row r="202" spans="1:5" x14ac:dyDescent="0.3">
      <c r="A202" s="58">
        <v>193</v>
      </c>
      <c r="B202" s="58">
        <f t="shared" si="12"/>
        <v>579</v>
      </c>
      <c r="C202" s="58">
        <f t="shared" si="11"/>
        <v>193</v>
      </c>
      <c r="D202" s="58" t="b">
        <f t="shared" si="13"/>
        <v>0</v>
      </c>
      <c r="E202" s="58">
        <f t="shared" si="10"/>
        <v>1.234455958549223</v>
      </c>
    </row>
    <row r="203" spans="1:5" x14ac:dyDescent="0.3">
      <c r="A203" s="58">
        <v>194</v>
      </c>
      <c r="B203" s="58">
        <f t="shared" si="12"/>
        <v>582</v>
      </c>
      <c r="C203" s="58">
        <f t="shared" si="11"/>
        <v>194</v>
      </c>
      <c r="D203" s="58" t="b">
        <f t="shared" si="13"/>
        <v>0</v>
      </c>
      <c r="E203" s="58">
        <f t="shared" ref="E203:E212" si="14">IF(D203,$K$4/3*(B203-$B$11),$K$4/3*($B$8-$B$11)+$K$6+$B$9*((B203-$B$8)/B203))</f>
        <v>1.2345360824742269</v>
      </c>
    </row>
    <row r="204" spans="1:5" x14ac:dyDescent="0.3">
      <c r="A204" s="58">
        <v>195</v>
      </c>
      <c r="B204" s="58">
        <f t="shared" si="12"/>
        <v>585</v>
      </c>
      <c r="C204" s="58">
        <f t="shared" si="11"/>
        <v>195</v>
      </c>
      <c r="D204" s="58" t="b">
        <f t="shared" si="13"/>
        <v>0</v>
      </c>
      <c r="E204" s="58">
        <f t="shared" si="14"/>
        <v>1.2346153846153847</v>
      </c>
    </row>
    <row r="205" spans="1:5" x14ac:dyDescent="0.3">
      <c r="A205" s="58">
        <v>196</v>
      </c>
      <c r="B205" s="58">
        <f t="shared" si="12"/>
        <v>588</v>
      </c>
      <c r="C205" s="58">
        <f t="shared" ref="C205:C212" si="15">+C204+1</f>
        <v>196</v>
      </c>
      <c r="D205" s="58" t="b">
        <f t="shared" si="13"/>
        <v>0</v>
      </c>
      <c r="E205" s="58">
        <f t="shared" si="14"/>
        <v>1.2346938775510206</v>
      </c>
    </row>
    <row r="206" spans="1:5" x14ac:dyDescent="0.3">
      <c r="A206" s="58">
        <v>197</v>
      </c>
      <c r="B206" s="58">
        <f t="shared" si="12"/>
        <v>591</v>
      </c>
      <c r="C206" s="58">
        <f t="shared" si="15"/>
        <v>197</v>
      </c>
      <c r="D206" s="58" t="b">
        <f t="shared" si="13"/>
        <v>0</v>
      </c>
      <c r="E206" s="58">
        <f t="shared" si="14"/>
        <v>1.234771573604061</v>
      </c>
    </row>
    <row r="207" spans="1:5" x14ac:dyDescent="0.3">
      <c r="A207" s="58">
        <v>198</v>
      </c>
      <c r="B207" s="58">
        <f t="shared" si="12"/>
        <v>594</v>
      </c>
      <c r="C207" s="58">
        <f t="shared" si="15"/>
        <v>198</v>
      </c>
      <c r="D207" s="58" t="b">
        <f t="shared" si="13"/>
        <v>0</v>
      </c>
      <c r="E207" s="58">
        <f t="shared" si="14"/>
        <v>1.2348484848484849</v>
      </c>
    </row>
    <row r="208" spans="1:5" x14ac:dyDescent="0.3">
      <c r="A208" s="58">
        <v>199</v>
      </c>
      <c r="B208" s="58">
        <f t="shared" si="12"/>
        <v>597</v>
      </c>
      <c r="C208" s="58">
        <f t="shared" si="15"/>
        <v>199</v>
      </c>
      <c r="D208" s="58" t="b">
        <f t="shared" si="13"/>
        <v>0</v>
      </c>
      <c r="E208" s="58">
        <f t="shared" si="14"/>
        <v>1.2349246231155779</v>
      </c>
    </row>
    <row r="209" spans="1:5" x14ac:dyDescent="0.3">
      <c r="A209" s="58">
        <v>200</v>
      </c>
      <c r="B209" s="58">
        <f t="shared" si="12"/>
        <v>600</v>
      </c>
      <c r="C209" s="58">
        <f t="shared" si="15"/>
        <v>200</v>
      </c>
      <c r="D209" s="58" t="b">
        <f t="shared" si="13"/>
        <v>0</v>
      </c>
      <c r="E209" s="58">
        <f t="shared" si="14"/>
        <v>1.2350000000000001</v>
      </c>
    </row>
    <row r="210" spans="1:5" x14ac:dyDescent="0.3">
      <c r="A210" s="58">
        <v>201</v>
      </c>
      <c r="B210" s="58">
        <f t="shared" si="12"/>
        <v>603</v>
      </c>
      <c r="C210" s="58">
        <f t="shared" si="15"/>
        <v>201</v>
      </c>
      <c r="D210" s="58" t="b">
        <f t="shared" si="13"/>
        <v>0</v>
      </c>
      <c r="E210" s="58">
        <f t="shared" si="14"/>
        <v>1.2350746268656718</v>
      </c>
    </row>
    <row r="211" spans="1:5" x14ac:dyDescent="0.3">
      <c r="A211" s="58">
        <v>202</v>
      </c>
      <c r="B211" s="58">
        <f t="shared" si="12"/>
        <v>606</v>
      </c>
      <c r="C211" s="58">
        <f t="shared" si="15"/>
        <v>202</v>
      </c>
      <c r="D211" s="58" t="b">
        <f t="shared" si="13"/>
        <v>0</v>
      </c>
      <c r="E211" s="58">
        <f t="shared" si="14"/>
        <v>1.2351485148514851</v>
      </c>
    </row>
    <row r="212" spans="1:5" x14ac:dyDescent="0.3">
      <c r="A212" s="58">
        <v>203</v>
      </c>
      <c r="B212" s="58">
        <f t="shared" si="12"/>
        <v>609</v>
      </c>
      <c r="C212" s="58">
        <f t="shared" si="15"/>
        <v>203</v>
      </c>
      <c r="D212" s="58" t="b">
        <f t="shared" si="13"/>
        <v>0</v>
      </c>
      <c r="E212" s="58">
        <f t="shared" si="14"/>
        <v>1.2352216748768474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2</xdr:col>
                <xdr:colOff>342900</xdr:colOff>
                <xdr:row>0</xdr:row>
                <xdr:rowOff>99060</xdr:rowOff>
              </from>
              <to>
                <xdr:col>9</xdr:col>
                <xdr:colOff>822960</xdr:colOff>
                <xdr:row>8</xdr:row>
                <xdr:rowOff>373380</xdr:rowOff>
              </to>
            </anchor>
          </objectPr>
        </oleObject>
      </mc:Choice>
      <mc:Fallback>
        <oleObject progId="Equation.3" shapeId="1027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285"/>
  <sheetViews>
    <sheetView workbookViewId="0">
      <selection activeCell="D11" sqref="D11"/>
    </sheetView>
  </sheetViews>
  <sheetFormatPr defaultRowHeight="14.4" x14ac:dyDescent="0.3"/>
  <cols>
    <col min="1" max="1" width="10.5546875" customWidth="1"/>
    <col min="4" max="4" width="13.33203125" customWidth="1"/>
    <col min="9" max="9" width="12.109375" customWidth="1"/>
  </cols>
  <sheetData>
    <row r="3" spans="1:10" x14ac:dyDescent="0.3">
      <c r="C3" t="s">
        <v>9</v>
      </c>
    </row>
    <row r="4" spans="1:10" x14ac:dyDescent="0.3">
      <c r="I4" t="s">
        <v>12</v>
      </c>
      <c r="J4">
        <v>0.1</v>
      </c>
    </row>
    <row r="5" spans="1:10" x14ac:dyDescent="0.3">
      <c r="I5" t="s">
        <v>6</v>
      </c>
      <c r="J5">
        <v>0.25</v>
      </c>
    </row>
    <row r="8" spans="1:10" x14ac:dyDescent="0.3">
      <c r="A8" t="s">
        <v>10</v>
      </c>
      <c r="B8">
        <v>15</v>
      </c>
    </row>
    <row r="10" spans="1:10" x14ac:dyDescent="0.3">
      <c r="A10" t="s">
        <v>4</v>
      </c>
      <c r="B10" t="s">
        <v>1</v>
      </c>
      <c r="C10" t="s">
        <v>2</v>
      </c>
      <c r="D10" t="s">
        <v>11</v>
      </c>
    </row>
    <row r="11" spans="1:10" x14ac:dyDescent="0.3">
      <c r="A11">
        <v>1</v>
      </c>
      <c r="B11">
        <v>3</v>
      </c>
      <c r="C11">
        <v>1</v>
      </c>
      <c r="D11">
        <v>0</v>
      </c>
    </row>
    <row r="12" spans="1:10" x14ac:dyDescent="0.3">
      <c r="A12">
        <v>2</v>
      </c>
      <c r="B12">
        <v>6</v>
      </c>
      <c r="C12">
        <v>2</v>
      </c>
      <c r="D12">
        <v>0</v>
      </c>
    </row>
    <row r="13" spans="1:10" x14ac:dyDescent="0.3">
      <c r="A13">
        <v>3</v>
      </c>
      <c r="B13">
        <f>3*A13</f>
        <v>9</v>
      </c>
      <c r="C13">
        <f>+C12+1</f>
        <v>3</v>
      </c>
      <c r="D13">
        <f>IF(B13&gt;$B$8,$J$4+$J$5*(B13-$B$8)/B13,0)</f>
        <v>0</v>
      </c>
    </row>
    <row r="14" spans="1:10" x14ac:dyDescent="0.3">
      <c r="A14">
        <v>4</v>
      </c>
      <c r="B14">
        <f t="shared" ref="B14:B19" si="0">3*A14</f>
        <v>12</v>
      </c>
      <c r="C14">
        <f t="shared" ref="C14:C77" si="1">+C13+1</f>
        <v>4</v>
      </c>
      <c r="D14">
        <f t="shared" ref="D14:D19" si="2">IF(B14&gt;$B$8,$J$4+$J$5*(B14-$B$8)/B14,0)</f>
        <v>0</v>
      </c>
    </row>
    <row r="15" spans="1:10" x14ac:dyDescent="0.3">
      <c r="A15">
        <v>5</v>
      </c>
      <c r="B15">
        <f t="shared" si="0"/>
        <v>15</v>
      </c>
      <c r="C15">
        <f t="shared" si="1"/>
        <v>5</v>
      </c>
      <c r="D15">
        <f t="shared" si="2"/>
        <v>0</v>
      </c>
    </row>
    <row r="16" spans="1:10" x14ac:dyDescent="0.3">
      <c r="A16">
        <v>6</v>
      </c>
      <c r="B16">
        <f t="shared" si="0"/>
        <v>18</v>
      </c>
      <c r="C16">
        <f t="shared" si="1"/>
        <v>6</v>
      </c>
      <c r="D16">
        <f t="shared" si="2"/>
        <v>0.14166666666666666</v>
      </c>
    </row>
    <row r="17" spans="1:4" x14ac:dyDescent="0.3">
      <c r="A17">
        <v>7</v>
      </c>
      <c r="B17">
        <f t="shared" si="0"/>
        <v>21</v>
      </c>
      <c r="C17">
        <f t="shared" si="1"/>
        <v>7</v>
      </c>
      <c r="D17">
        <f t="shared" si="2"/>
        <v>0.17142857142857143</v>
      </c>
    </row>
    <row r="18" spans="1:4" x14ac:dyDescent="0.3">
      <c r="A18">
        <v>8</v>
      </c>
      <c r="B18">
        <f t="shared" si="0"/>
        <v>24</v>
      </c>
      <c r="C18">
        <f t="shared" si="1"/>
        <v>8</v>
      </c>
      <c r="D18">
        <f t="shared" si="2"/>
        <v>0.19375000000000001</v>
      </c>
    </row>
    <row r="19" spans="1:4" x14ac:dyDescent="0.3">
      <c r="A19">
        <v>9</v>
      </c>
      <c r="B19">
        <f t="shared" si="0"/>
        <v>27</v>
      </c>
      <c r="C19">
        <f t="shared" si="1"/>
        <v>9</v>
      </c>
      <c r="D19">
        <f t="shared" si="2"/>
        <v>0.21111111111111111</v>
      </c>
    </row>
    <row r="20" spans="1:4" x14ac:dyDescent="0.3">
      <c r="A20">
        <v>10</v>
      </c>
      <c r="B20">
        <f t="shared" ref="B20:B83" si="3">3*A20</f>
        <v>30</v>
      </c>
      <c r="C20">
        <f t="shared" si="1"/>
        <v>10</v>
      </c>
      <c r="D20">
        <f t="shared" ref="D20:D83" si="4">IF(B20&gt;$B$8,$J$4+$J$5*(B20-$B$8)/B20,0)</f>
        <v>0.22500000000000001</v>
      </c>
    </row>
    <row r="21" spans="1:4" x14ac:dyDescent="0.3">
      <c r="A21">
        <v>11</v>
      </c>
      <c r="B21">
        <f t="shared" si="3"/>
        <v>33</v>
      </c>
      <c r="C21">
        <f t="shared" si="1"/>
        <v>11</v>
      </c>
      <c r="D21">
        <f t="shared" si="4"/>
        <v>0.23636363636363636</v>
      </c>
    </row>
    <row r="22" spans="1:4" x14ac:dyDescent="0.3">
      <c r="A22">
        <v>12</v>
      </c>
      <c r="B22">
        <f t="shared" si="3"/>
        <v>36</v>
      </c>
      <c r="C22">
        <f t="shared" si="1"/>
        <v>12</v>
      </c>
      <c r="D22">
        <f t="shared" si="4"/>
        <v>0.24583333333333335</v>
      </c>
    </row>
    <row r="23" spans="1:4" x14ac:dyDescent="0.3">
      <c r="A23">
        <v>13</v>
      </c>
      <c r="B23">
        <f t="shared" si="3"/>
        <v>39</v>
      </c>
      <c r="C23">
        <f t="shared" si="1"/>
        <v>13</v>
      </c>
      <c r="D23">
        <f t="shared" si="4"/>
        <v>0.25384615384615383</v>
      </c>
    </row>
    <row r="24" spans="1:4" x14ac:dyDescent="0.3">
      <c r="A24">
        <v>14</v>
      </c>
      <c r="B24">
        <f t="shared" si="3"/>
        <v>42</v>
      </c>
      <c r="C24">
        <f t="shared" si="1"/>
        <v>14</v>
      </c>
      <c r="D24">
        <f t="shared" si="4"/>
        <v>0.26071428571428573</v>
      </c>
    </row>
    <row r="25" spans="1:4" x14ac:dyDescent="0.3">
      <c r="A25">
        <v>15</v>
      </c>
      <c r="B25">
        <f t="shared" si="3"/>
        <v>45</v>
      </c>
      <c r="C25">
        <f t="shared" si="1"/>
        <v>15</v>
      </c>
      <c r="D25">
        <f t="shared" si="4"/>
        <v>0.26666666666666666</v>
      </c>
    </row>
    <row r="26" spans="1:4" x14ac:dyDescent="0.3">
      <c r="A26">
        <v>16</v>
      </c>
      <c r="B26">
        <f t="shared" si="3"/>
        <v>48</v>
      </c>
      <c r="C26">
        <f t="shared" si="1"/>
        <v>16</v>
      </c>
      <c r="D26">
        <f t="shared" si="4"/>
        <v>0.27187499999999998</v>
      </c>
    </row>
    <row r="27" spans="1:4" x14ac:dyDescent="0.3">
      <c r="A27">
        <v>17</v>
      </c>
      <c r="B27">
        <f t="shared" si="3"/>
        <v>51</v>
      </c>
      <c r="C27">
        <f t="shared" si="1"/>
        <v>17</v>
      </c>
      <c r="D27">
        <f t="shared" si="4"/>
        <v>0.27647058823529413</v>
      </c>
    </row>
    <row r="28" spans="1:4" x14ac:dyDescent="0.3">
      <c r="A28">
        <v>18</v>
      </c>
      <c r="B28">
        <f t="shared" si="3"/>
        <v>54</v>
      </c>
      <c r="C28">
        <f t="shared" si="1"/>
        <v>18</v>
      </c>
      <c r="D28">
        <f t="shared" si="4"/>
        <v>0.28055555555555556</v>
      </c>
    </row>
    <row r="29" spans="1:4" x14ac:dyDescent="0.3">
      <c r="A29">
        <v>19</v>
      </c>
      <c r="B29">
        <f t="shared" si="3"/>
        <v>57</v>
      </c>
      <c r="C29">
        <f t="shared" si="1"/>
        <v>19</v>
      </c>
      <c r="D29">
        <f t="shared" si="4"/>
        <v>0.28421052631578947</v>
      </c>
    </row>
    <row r="30" spans="1:4" x14ac:dyDescent="0.3">
      <c r="A30">
        <v>20</v>
      </c>
      <c r="B30">
        <f t="shared" si="3"/>
        <v>60</v>
      </c>
      <c r="C30">
        <f t="shared" si="1"/>
        <v>20</v>
      </c>
      <c r="D30">
        <f t="shared" si="4"/>
        <v>0.28749999999999998</v>
      </c>
    </row>
    <row r="31" spans="1:4" x14ac:dyDescent="0.3">
      <c r="A31">
        <v>21</v>
      </c>
      <c r="B31">
        <f t="shared" si="3"/>
        <v>63</v>
      </c>
      <c r="C31">
        <f t="shared" si="1"/>
        <v>21</v>
      </c>
      <c r="D31">
        <f t="shared" si="4"/>
        <v>0.29047619047619044</v>
      </c>
    </row>
    <row r="32" spans="1:4" x14ac:dyDescent="0.3">
      <c r="A32">
        <v>22</v>
      </c>
      <c r="B32">
        <f t="shared" si="3"/>
        <v>66</v>
      </c>
      <c r="C32">
        <f t="shared" si="1"/>
        <v>22</v>
      </c>
      <c r="D32">
        <f t="shared" si="4"/>
        <v>0.29318181818181821</v>
      </c>
    </row>
    <row r="33" spans="1:4" x14ac:dyDescent="0.3">
      <c r="A33">
        <v>23</v>
      </c>
      <c r="B33">
        <f t="shared" si="3"/>
        <v>69</v>
      </c>
      <c r="C33">
        <f t="shared" si="1"/>
        <v>23</v>
      </c>
      <c r="D33">
        <f t="shared" si="4"/>
        <v>0.29565217391304349</v>
      </c>
    </row>
    <row r="34" spans="1:4" x14ac:dyDescent="0.3">
      <c r="A34">
        <v>24</v>
      </c>
      <c r="B34">
        <f t="shared" si="3"/>
        <v>72</v>
      </c>
      <c r="C34">
        <f t="shared" si="1"/>
        <v>24</v>
      </c>
      <c r="D34">
        <f t="shared" si="4"/>
        <v>0.29791666666666666</v>
      </c>
    </row>
    <row r="35" spans="1:4" x14ac:dyDescent="0.3">
      <c r="A35">
        <v>25</v>
      </c>
      <c r="B35">
        <f t="shared" si="3"/>
        <v>75</v>
      </c>
      <c r="C35">
        <f t="shared" si="1"/>
        <v>25</v>
      </c>
      <c r="D35">
        <f t="shared" si="4"/>
        <v>0.30000000000000004</v>
      </c>
    </row>
    <row r="36" spans="1:4" x14ac:dyDescent="0.3">
      <c r="A36">
        <v>26</v>
      </c>
      <c r="B36">
        <f t="shared" si="3"/>
        <v>78</v>
      </c>
      <c r="C36">
        <f t="shared" si="1"/>
        <v>26</v>
      </c>
      <c r="D36">
        <f t="shared" si="4"/>
        <v>0.30192307692307696</v>
      </c>
    </row>
    <row r="37" spans="1:4" x14ac:dyDescent="0.3">
      <c r="A37">
        <v>27</v>
      </c>
      <c r="B37">
        <f t="shared" si="3"/>
        <v>81</v>
      </c>
      <c r="C37">
        <f t="shared" si="1"/>
        <v>27</v>
      </c>
      <c r="D37">
        <f t="shared" si="4"/>
        <v>0.3037037037037037</v>
      </c>
    </row>
    <row r="38" spans="1:4" x14ac:dyDescent="0.3">
      <c r="A38">
        <v>28</v>
      </c>
      <c r="B38">
        <f t="shared" si="3"/>
        <v>84</v>
      </c>
      <c r="C38">
        <f t="shared" si="1"/>
        <v>28</v>
      </c>
      <c r="D38">
        <f t="shared" si="4"/>
        <v>0.30535714285714288</v>
      </c>
    </row>
    <row r="39" spans="1:4" x14ac:dyDescent="0.3">
      <c r="A39">
        <v>29</v>
      </c>
      <c r="B39">
        <f t="shared" si="3"/>
        <v>87</v>
      </c>
      <c r="C39">
        <f t="shared" si="1"/>
        <v>29</v>
      </c>
      <c r="D39">
        <f t="shared" si="4"/>
        <v>0.30689655172413793</v>
      </c>
    </row>
    <row r="40" spans="1:4" x14ac:dyDescent="0.3">
      <c r="A40">
        <v>30</v>
      </c>
      <c r="B40">
        <f t="shared" si="3"/>
        <v>90</v>
      </c>
      <c r="C40">
        <f t="shared" si="1"/>
        <v>30</v>
      </c>
      <c r="D40">
        <f t="shared" si="4"/>
        <v>0.30833333333333335</v>
      </c>
    </row>
    <row r="41" spans="1:4" x14ac:dyDescent="0.3">
      <c r="A41">
        <v>31</v>
      </c>
      <c r="B41">
        <f t="shared" si="3"/>
        <v>93</v>
      </c>
      <c r="C41">
        <f t="shared" si="1"/>
        <v>31</v>
      </c>
      <c r="D41">
        <f t="shared" si="4"/>
        <v>0.30967741935483872</v>
      </c>
    </row>
    <row r="42" spans="1:4" x14ac:dyDescent="0.3">
      <c r="A42">
        <v>32</v>
      </c>
      <c r="B42">
        <f t="shared" si="3"/>
        <v>96</v>
      </c>
      <c r="C42">
        <f t="shared" si="1"/>
        <v>32</v>
      </c>
      <c r="D42">
        <f t="shared" si="4"/>
        <v>0.31093749999999998</v>
      </c>
    </row>
    <row r="43" spans="1:4" x14ac:dyDescent="0.3">
      <c r="A43">
        <v>33</v>
      </c>
      <c r="B43">
        <f t="shared" si="3"/>
        <v>99</v>
      </c>
      <c r="C43">
        <f t="shared" si="1"/>
        <v>33</v>
      </c>
      <c r="D43">
        <f t="shared" si="4"/>
        <v>0.31212121212121213</v>
      </c>
    </row>
    <row r="44" spans="1:4" x14ac:dyDescent="0.3">
      <c r="A44">
        <v>34</v>
      </c>
      <c r="B44">
        <f t="shared" si="3"/>
        <v>102</v>
      </c>
      <c r="C44">
        <f t="shared" si="1"/>
        <v>34</v>
      </c>
      <c r="D44">
        <f t="shared" si="4"/>
        <v>0.31323529411764706</v>
      </c>
    </row>
    <row r="45" spans="1:4" x14ac:dyDescent="0.3">
      <c r="A45">
        <v>35</v>
      </c>
      <c r="B45">
        <f t="shared" si="3"/>
        <v>105</v>
      </c>
      <c r="C45">
        <f t="shared" si="1"/>
        <v>35</v>
      </c>
      <c r="D45">
        <f t="shared" si="4"/>
        <v>0.31428571428571428</v>
      </c>
    </row>
    <row r="46" spans="1:4" x14ac:dyDescent="0.3">
      <c r="A46">
        <v>36</v>
      </c>
      <c r="B46">
        <f t="shared" si="3"/>
        <v>108</v>
      </c>
      <c r="C46">
        <f t="shared" si="1"/>
        <v>36</v>
      </c>
      <c r="D46">
        <f t="shared" si="4"/>
        <v>0.31527777777777777</v>
      </c>
    </row>
    <row r="47" spans="1:4" x14ac:dyDescent="0.3">
      <c r="A47">
        <v>37</v>
      </c>
      <c r="B47">
        <f t="shared" si="3"/>
        <v>111</v>
      </c>
      <c r="C47">
        <f t="shared" si="1"/>
        <v>37</v>
      </c>
      <c r="D47">
        <f t="shared" si="4"/>
        <v>0.31621621621621621</v>
      </c>
    </row>
    <row r="48" spans="1:4" x14ac:dyDescent="0.3">
      <c r="A48">
        <v>38</v>
      </c>
      <c r="B48">
        <f t="shared" si="3"/>
        <v>114</v>
      </c>
      <c r="C48">
        <f t="shared" si="1"/>
        <v>38</v>
      </c>
      <c r="D48">
        <f t="shared" si="4"/>
        <v>0.31710526315789478</v>
      </c>
    </row>
    <row r="49" spans="1:4" x14ac:dyDescent="0.3">
      <c r="A49">
        <v>39</v>
      </c>
      <c r="B49">
        <f t="shared" si="3"/>
        <v>117</v>
      </c>
      <c r="C49">
        <f t="shared" si="1"/>
        <v>39</v>
      </c>
      <c r="D49">
        <f t="shared" si="4"/>
        <v>0.31794871794871793</v>
      </c>
    </row>
    <row r="50" spans="1:4" x14ac:dyDescent="0.3">
      <c r="A50">
        <v>40</v>
      </c>
      <c r="B50">
        <f t="shared" si="3"/>
        <v>120</v>
      </c>
      <c r="C50">
        <f t="shared" si="1"/>
        <v>40</v>
      </c>
      <c r="D50">
        <f t="shared" si="4"/>
        <v>0.31874999999999998</v>
      </c>
    </row>
    <row r="51" spans="1:4" x14ac:dyDescent="0.3">
      <c r="A51">
        <v>41</v>
      </c>
      <c r="B51">
        <f t="shared" si="3"/>
        <v>123</v>
      </c>
      <c r="C51">
        <f t="shared" si="1"/>
        <v>41</v>
      </c>
      <c r="D51">
        <f t="shared" si="4"/>
        <v>0.31951219512195123</v>
      </c>
    </row>
    <row r="52" spans="1:4" x14ac:dyDescent="0.3">
      <c r="A52">
        <v>42</v>
      </c>
      <c r="B52">
        <f t="shared" si="3"/>
        <v>126</v>
      </c>
      <c r="C52">
        <f t="shared" si="1"/>
        <v>42</v>
      </c>
      <c r="D52">
        <f t="shared" si="4"/>
        <v>0.32023809523809521</v>
      </c>
    </row>
    <row r="53" spans="1:4" x14ac:dyDescent="0.3">
      <c r="A53">
        <v>43</v>
      </c>
      <c r="B53">
        <f t="shared" si="3"/>
        <v>129</v>
      </c>
      <c r="C53">
        <f t="shared" si="1"/>
        <v>43</v>
      </c>
      <c r="D53">
        <f t="shared" si="4"/>
        <v>0.32093023255813957</v>
      </c>
    </row>
    <row r="54" spans="1:4" x14ac:dyDescent="0.3">
      <c r="A54">
        <v>44</v>
      </c>
      <c r="B54">
        <f t="shared" si="3"/>
        <v>132</v>
      </c>
      <c r="C54">
        <f t="shared" si="1"/>
        <v>44</v>
      </c>
      <c r="D54">
        <f t="shared" si="4"/>
        <v>0.32159090909090909</v>
      </c>
    </row>
    <row r="55" spans="1:4" x14ac:dyDescent="0.3">
      <c r="A55">
        <v>45</v>
      </c>
      <c r="B55">
        <f t="shared" si="3"/>
        <v>135</v>
      </c>
      <c r="C55">
        <f t="shared" si="1"/>
        <v>45</v>
      </c>
      <c r="D55">
        <f t="shared" si="4"/>
        <v>0.32222222222222219</v>
      </c>
    </row>
    <row r="56" spans="1:4" x14ac:dyDescent="0.3">
      <c r="A56">
        <v>46</v>
      </c>
      <c r="B56">
        <f t="shared" si="3"/>
        <v>138</v>
      </c>
      <c r="C56">
        <f t="shared" si="1"/>
        <v>46</v>
      </c>
      <c r="D56">
        <f t="shared" si="4"/>
        <v>0.32282608695652171</v>
      </c>
    </row>
    <row r="57" spans="1:4" x14ac:dyDescent="0.3">
      <c r="A57">
        <v>47</v>
      </c>
      <c r="B57">
        <f t="shared" si="3"/>
        <v>141</v>
      </c>
      <c r="C57">
        <f t="shared" si="1"/>
        <v>47</v>
      </c>
      <c r="D57">
        <f t="shared" si="4"/>
        <v>0.32340425531914896</v>
      </c>
    </row>
    <row r="58" spans="1:4" x14ac:dyDescent="0.3">
      <c r="A58">
        <v>48</v>
      </c>
      <c r="B58">
        <f t="shared" si="3"/>
        <v>144</v>
      </c>
      <c r="C58">
        <f t="shared" si="1"/>
        <v>48</v>
      </c>
      <c r="D58">
        <f t="shared" si="4"/>
        <v>0.32395833333333335</v>
      </c>
    </row>
    <row r="59" spans="1:4" x14ac:dyDescent="0.3">
      <c r="A59">
        <v>49</v>
      </c>
      <c r="B59">
        <f t="shared" si="3"/>
        <v>147</v>
      </c>
      <c r="C59">
        <f t="shared" si="1"/>
        <v>49</v>
      </c>
      <c r="D59">
        <f t="shared" si="4"/>
        <v>0.32448979591836735</v>
      </c>
    </row>
    <row r="60" spans="1:4" x14ac:dyDescent="0.3">
      <c r="A60">
        <v>50</v>
      </c>
      <c r="B60">
        <f t="shared" si="3"/>
        <v>150</v>
      </c>
      <c r="C60">
        <f t="shared" si="1"/>
        <v>50</v>
      </c>
      <c r="D60">
        <f t="shared" si="4"/>
        <v>0.32500000000000001</v>
      </c>
    </row>
    <row r="61" spans="1:4" x14ac:dyDescent="0.3">
      <c r="A61">
        <v>51</v>
      </c>
      <c r="B61">
        <f t="shared" si="3"/>
        <v>153</v>
      </c>
      <c r="C61">
        <f t="shared" si="1"/>
        <v>51</v>
      </c>
      <c r="D61">
        <f t="shared" si="4"/>
        <v>0.32549019607843138</v>
      </c>
    </row>
    <row r="62" spans="1:4" x14ac:dyDescent="0.3">
      <c r="A62">
        <v>52</v>
      </c>
      <c r="B62">
        <f t="shared" si="3"/>
        <v>156</v>
      </c>
      <c r="C62">
        <f t="shared" si="1"/>
        <v>52</v>
      </c>
      <c r="D62">
        <f t="shared" si="4"/>
        <v>0.32596153846153847</v>
      </c>
    </row>
    <row r="63" spans="1:4" x14ac:dyDescent="0.3">
      <c r="A63">
        <v>53</v>
      </c>
      <c r="B63">
        <f t="shared" si="3"/>
        <v>159</v>
      </c>
      <c r="C63">
        <f t="shared" si="1"/>
        <v>53</v>
      </c>
      <c r="D63">
        <f t="shared" si="4"/>
        <v>0.32641509433962268</v>
      </c>
    </row>
    <row r="64" spans="1:4" x14ac:dyDescent="0.3">
      <c r="A64">
        <v>54</v>
      </c>
      <c r="B64">
        <f t="shared" si="3"/>
        <v>162</v>
      </c>
      <c r="C64">
        <f t="shared" si="1"/>
        <v>54</v>
      </c>
      <c r="D64">
        <f t="shared" si="4"/>
        <v>0.32685185185185184</v>
      </c>
    </row>
    <row r="65" spans="1:4" x14ac:dyDescent="0.3">
      <c r="A65">
        <v>55</v>
      </c>
      <c r="B65">
        <f t="shared" si="3"/>
        <v>165</v>
      </c>
      <c r="C65">
        <f t="shared" si="1"/>
        <v>55</v>
      </c>
      <c r="D65">
        <f t="shared" si="4"/>
        <v>0.32727272727272727</v>
      </c>
    </row>
    <row r="66" spans="1:4" x14ac:dyDescent="0.3">
      <c r="A66">
        <v>56</v>
      </c>
      <c r="B66">
        <f t="shared" si="3"/>
        <v>168</v>
      </c>
      <c r="C66">
        <f t="shared" si="1"/>
        <v>56</v>
      </c>
      <c r="D66">
        <f t="shared" si="4"/>
        <v>0.32767857142857143</v>
      </c>
    </row>
    <row r="67" spans="1:4" x14ac:dyDescent="0.3">
      <c r="A67">
        <v>57</v>
      </c>
      <c r="B67">
        <f t="shared" si="3"/>
        <v>171</v>
      </c>
      <c r="C67">
        <f t="shared" si="1"/>
        <v>57</v>
      </c>
      <c r="D67">
        <f t="shared" si="4"/>
        <v>0.32807017543859651</v>
      </c>
    </row>
    <row r="68" spans="1:4" x14ac:dyDescent="0.3">
      <c r="A68">
        <v>58</v>
      </c>
      <c r="B68">
        <f t="shared" si="3"/>
        <v>174</v>
      </c>
      <c r="C68">
        <f t="shared" si="1"/>
        <v>58</v>
      </c>
      <c r="D68">
        <f t="shared" si="4"/>
        <v>0.32844827586206898</v>
      </c>
    </row>
    <row r="69" spans="1:4" x14ac:dyDescent="0.3">
      <c r="A69">
        <v>59</v>
      </c>
      <c r="B69">
        <f t="shared" si="3"/>
        <v>177</v>
      </c>
      <c r="C69">
        <f t="shared" si="1"/>
        <v>59</v>
      </c>
      <c r="D69">
        <f t="shared" si="4"/>
        <v>0.32881355932203393</v>
      </c>
    </row>
    <row r="70" spans="1:4" x14ac:dyDescent="0.3">
      <c r="A70">
        <v>60</v>
      </c>
      <c r="B70">
        <f t="shared" si="3"/>
        <v>180</v>
      </c>
      <c r="C70">
        <f t="shared" si="1"/>
        <v>60</v>
      </c>
      <c r="D70">
        <f t="shared" si="4"/>
        <v>0.32916666666666666</v>
      </c>
    </row>
    <row r="71" spans="1:4" x14ac:dyDescent="0.3">
      <c r="A71">
        <v>61</v>
      </c>
      <c r="B71">
        <f t="shared" si="3"/>
        <v>183</v>
      </c>
      <c r="C71">
        <f t="shared" si="1"/>
        <v>61</v>
      </c>
      <c r="D71">
        <f t="shared" si="4"/>
        <v>0.32950819672131149</v>
      </c>
    </row>
    <row r="72" spans="1:4" x14ac:dyDescent="0.3">
      <c r="A72">
        <v>62</v>
      </c>
      <c r="B72">
        <f t="shared" si="3"/>
        <v>186</v>
      </c>
      <c r="C72">
        <f t="shared" si="1"/>
        <v>62</v>
      </c>
      <c r="D72">
        <f t="shared" si="4"/>
        <v>0.32983870967741935</v>
      </c>
    </row>
    <row r="73" spans="1:4" x14ac:dyDescent="0.3">
      <c r="A73">
        <v>63</v>
      </c>
      <c r="B73">
        <f t="shared" si="3"/>
        <v>189</v>
      </c>
      <c r="C73">
        <f t="shared" si="1"/>
        <v>63</v>
      </c>
      <c r="D73">
        <f t="shared" si="4"/>
        <v>0.33015873015873015</v>
      </c>
    </row>
    <row r="74" spans="1:4" x14ac:dyDescent="0.3">
      <c r="A74">
        <v>64</v>
      </c>
      <c r="B74">
        <f t="shared" si="3"/>
        <v>192</v>
      </c>
      <c r="C74">
        <f t="shared" si="1"/>
        <v>64</v>
      </c>
      <c r="D74">
        <f t="shared" si="4"/>
        <v>0.33046874999999998</v>
      </c>
    </row>
    <row r="75" spans="1:4" x14ac:dyDescent="0.3">
      <c r="A75">
        <v>65</v>
      </c>
      <c r="B75">
        <f t="shared" si="3"/>
        <v>195</v>
      </c>
      <c r="C75">
        <f t="shared" si="1"/>
        <v>65</v>
      </c>
      <c r="D75">
        <f t="shared" si="4"/>
        <v>0.33076923076923082</v>
      </c>
    </row>
    <row r="76" spans="1:4" x14ac:dyDescent="0.3">
      <c r="A76">
        <v>66</v>
      </c>
      <c r="B76">
        <f t="shared" si="3"/>
        <v>198</v>
      </c>
      <c r="C76">
        <f t="shared" si="1"/>
        <v>66</v>
      </c>
      <c r="D76">
        <f t="shared" si="4"/>
        <v>0.33106060606060606</v>
      </c>
    </row>
    <row r="77" spans="1:4" x14ac:dyDescent="0.3">
      <c r="A77">
        <v>67</v>
      </c>
      <c r="B77">
        <f t="shared" si="3"/>
        <v>201</v>
      </c>
      <c r="C77">
        <f t="shared" si="1"/>
        <v>67</v>
      </c>
      <c r="D77">
        <f t="shared" si="4"/>
        <v>0.33134328358208953</v>
      </c>
    </row>
    <row r="78" spans="1:4" x14ac:dyDescent="0.3">
      <c r="A78">
        <v>68</v>
      </c>
      <c r="B78">
        <f t="shared" si="3"/>
        <v>204</v>
      </c>
      <c r="C78">
        <f t="shared" ref="C78:C141" si="5">+C77+1</f>
        <v>68</v>
      </c>
      <c r="D78">
        <f t="shared" si="4"/>
        <v>0.33161764705882357</v>
      </c>
    </row>
    <row r="79" spans="1:4" x14ac:dyDescent="0.3">
      <c r="A79">
        <v>69</v>
      </c>
      <c r="B79">
        <f t="shared" si="3"/>
        <v>207</v>
      </c>
      <c r="C79">
        <f t="shared" si="5"/>
        <v>69</v>
      </c>
      <c r="D79">
        <f t="shared" si="4"/>
        <v>0.3318840579710145</v>
      </c>
    </row>
    <row r="80" spans="1:4" x14ac:dyDescent="0.3">
      <c r="A80">
        <v>70</v>
      </c>
      <c r="B80">
        <f t="shared" si="3"/>
        <v>210</v>
      </c>
      <c r="C80">
        <f t="shared" si="5"/>
        <v>70</v>
      </c>
      <c r="D80">
        <f t="shared" si="4"/>
        <v>0.33214285714285718</v>
      </c>
    </row>
    <row r="81" spans="1:4" x14ac:dyDescent="0.3">
      <c r="A81">
        <v>71</v>
      </c>
      <c r="B81">
        <f t="shared" si="3"/>
        <v>213</v>
      </c>
      <c r="C81">
        <f t="shared" si="5"/>
        <v>71</v>
      </c>
      <c r="D81">
        <f t="shared" si="4"/>
        <v>0.3323943661971831</v>
      </c>
    </row>
    <row r="82" spans="1:4" x14ac:dyDescent="0.3">
      <c r="A82">
        <v>72</v>
      </c>
      <c r="B82">
        <f t="shared" si="3"/>
        <v>216</v>
      </c>
      <c r="C82">
        <f t="shared" si="5"/>
        <v>72</v>
      </c>
      <c r="D82">
        <f t="shared" si="4"/>
        <v>0.33263888888888893</v>
      </c>
    </row>
    <row r="83" spans="1:4" x14ac:dyDescent="0.3">
      <c r="A83">
        <v>73</v>
      </c>
      <c r="B83">
        <f t="shared" si="3"/>
        <v>219</v>
      </c>
      <c r="C83">
        <f t="shared" si="5"/>
        <v>73</v>
      </c>
      <c r="D83">
        <f t="shared" si="4"/>
        <v>0.33287671232876714</v>
      </c>
    </row>
    <row r="84" spans="1:4" x14ac:dyDescent="0.3">
      <c r="A84">
        <v>74</v>
      </c>
      <c r="B84">
        <f t="shared" ref="B84:B147" si="6">3*A84</f>
        <v>222</v>
      </c>
      <c r="C84">
        <f t="shared" si="5"/>
        <v>74</v>
      </c>
      <c r="D84">
        <f t="shared" ref="D84:D147" si="7">IF(B84&gt;$B$8,$J$4+$J$5*(B84-$B$8)/B84,0)</f>
        <v>0.33310810810810809</v>
      </c>
    </row>
    <row r="85" spans="1:4" x14ac:dyDescent="0.3">
      <c r="A85">
        <v>75</v>
      </c>
      <c r="B85">
        <f t="shared" si="6"/>
        <v>225</v>
      </c>
      <c r="C85">
        <f t="shared" si="5"/>
        <v>75</v>
      </c>
      <c r="D85">
        <f t="shared" si="7"/>
        <v>0.33333333333333337</v>
      </c>
    </row>
    <row r="86" spans="1:4" x14ac:dyDescent="0.3">
      <c r="A86">
        <v>76</v>
      </c>
      <c r="B86">
        <f t="shared" si="6"/>
        <v>228</v>
      </c>
      <c r="C86">
        <f t="shared" si="5"/>
        <v>76</v>
      </c>
      <c r="D86">
        <f t="shared" si="7"/>
        <v>0.33355263157894738</v>
      </c>
    </row>
    <row r="87" spans="1:4" x14ac:dyDescent="0.3">
      <c r="A87">
        <v>77</v>
      </c>
      <c r="B87">
        <f t="shared" si="6"/>
        <v>231</v>
      </c>
      <c r="C87">
        <f t="shared" si="5"/>
        <v>77</v>
      </c>
      <c r="D87">
        <f t="shared" si="7"/>
        <v>0.33376623376623377</v>
      </c>
    </row>
    <row r="88" spans="1:4" x14ac:dyDescent="0.3">
      <c r="A88">
        <v>78</v>
      </c>
      <c r="B88">
        <f t="shared" si="6"/>
        <v>234</v>
      </c>
      <c r="C88">
        <f t="shared" si="5"/>
        <v>78</v>
      </c>
      <c r="D88">
        <f t="shared" si="7"/>
        <v>0.33397435897435901</v>
      </c>
    </row>
    <row r="89" spans="1:4" x14ac:dyDescent="0.3">
      <c r="A89">
        <v>79</v>
      </c>
      <c r="B89">
        <f t="shared" si="6"/>
        <v>237</v>
      </c>
      <c r="C89">
        <f t="shared" si="5"/>
        <v>79</v>
      </c>
      <c r="D89">
        <f t="shared" si="7"/>
        <v>0.33417721518987342</v>
      </c>
    </row>
    <row r="90" spans="1:4" x14ac:dyDescent="0.3">
      <c r="A90">
        <v>80</v>
      </c>
      <c r="B90">
        <f t="shared" si="6"/>
        <v>240</v>
      </c>
      <c r="C90">
        <f t="shared" si="5"/>
        <v>80</v>
      </c>
      <c r="D90">
        <f t="shared" si="7"/>
        <v>0.33437499999999998</v>
      </c>
    </row>
    <row r="91" spans="1:4" x14ac:dyDescent="0.3">
      <c r="A91">
        <v>81</v>
      </c>
      <c r="B91">
        <f t="shared" si="6"/>
        <v>243</v>
      </c>
      <c r="C91">
        <f t="shared" si="5"/>
        <v>81</v>
      </c>
      <c r="D91">
        <f t="shared" si="7"/>
        <v>0.33456790123456792</v>
      </c>
    </row>
    <row r="92" spans="1:4" x14ac:dyDescent="0.3">
      <c r="A92">
        <v>82</v>
      </c>
      <c r="B92">
        <f t="shared" si="6"/>
        <v>246</v>
      </c>
      <c r="C92">
        <f t="shared" si="5"/>
        <v>82</v>
      </c>
      <c r="D92">
        <f t="shared" si="7"/>
        <v>0.33475609756097557</v>
      </c>
    </row>
    <row r="93" spans="1:4" x14ac:dyDescent="0.3">
      <c r="A93">
        <v>83</v>
      </c>
      <c r="B93">
        <f t="shared" si="6"/>
        <v>249</v>
      </c>
      <c r="C93">
        <f t="shared" si="5"/>
        <v>83</v>
      </c>
      <c r="D93">
        <f t="shared" si="7"/>
        <v>0.33493975903614459</v>
      </c>
    </row>
    <row r="94" spans="1:4" x14ac:dyDescent="0.3">
      <c r="A94">
        <v>84</v>
      </c>
      <c r="B94">
        <f t="shared" si="6"/>
        <v>252</v>
      </c>
      <c r="C94">
        <f t="shared" si="5"/>
        <v>84</v>
      </c>
      <c r="D94">
        <f t="shared" si="7"/>
        <v>0.33511904761904765</v>
      </c>
    </row>
    <row r="95" spans="1:4" x14ac:dyDescent="0.3">
      <c r="A95">
        <v>85</v>
      </c>
      <c r="B95">
        <f t="shared" si="6"/>
        <v>255</v>
      </c>
      <c r="C95">
        <f t="shared" si="5"/>
        <v>85</v>
      </c>
      <c r="D95">
        <f t="shared" si="7"/>
        <v>0.33529411764705885</v>
      </c>
    </row>
    <row r="96" spans="1:4" x14ac:dyDescent="0.3">
      <c r="A96">
        <v>86</v>
      </c>
      <c r="B96">
        <f t="shared" si="6"/>
        <v>258</v>
      </c>
      <c r="C96">
        <f t="shared" si="5"/>
        <v>86</v>
      </c>
      <c r="D96">
        <f t="shared" si="7"/>
        <v>0.33546511627906977</v>
      </c>
    </row>
    <row r="97" spans="1:4" x14ac:dyDescent="0.3">
      <c r="A97">
        <v>87</v>
      </c>
      <c r="B97">
        <f t="shared" si="6"/>
        <v>261</v>
      </c>
      <c r="C97">
        <f t="shared" si="5"/>
        <v>87</v>
      </c>
      <c r="D97">
        <f t="shared" si="7"/>
        <v>0.33563218390804594</v>
      </c>
    </row>
    <row r="98" spans="1:4" x14ac:dyDescent="0.3">
      <c r="A98">
        <v>88</v>
      </c>
      <c r="B98">
        <f t="shared" si="6"/>
        <v>264</v>
      </c>
      <c r="C98">
        <f t="shared" si="5"/>
        <v>88</v>
      </c>
      <c r="D98">
        <f t="shared" si="7"/>
        <v>0.33579545454545456</v>
      </c>
    </row>
    <row r="99" spans="1:4" x14ac:dyDescent="0.3">
      <c r="A99">
        <v>89</v>
      </c>
      <c r="B99">
        <f t="shared" si="6"/>
        <v>267</v>
      </c>
      <c r="C99">
        <f t="shared" si="5"/>
        <v>89</v>
      </c>
      <c r="D99">
        <f t="shared" si="7"/>
        <v>0.33595505617977528</v>
      </c>
    </row>
    <row r="100" spans="1:4" x14ac:dyDescent="0.3">
      <c r="A100">
        <v>90</v>
      </c>
      <c r="B100">
        <f t="shared" si="6"/>
        <v>270</v>
      </c>
      <c r="C100">
        <f t="shared" si="5"/>
        <v>90</v>
      </c>
      <c r="D100">
        <f t="shared" si="7"/>
        <v>0.33611111111111114</v>
      </c>
    </row>
    <row r="101" spans="1:4" x14ac:dyDescent="0.3">
      <c r="A101">
        <v>91</v>
      </c>
      <c r="B101">
        <f t="shared" si="6"/>
        <v>273</v>
      </c>
      <c r="C101">
        <f t="shared" si="5"/>
        <v>91</v>
      </c>
      <c r="D101">
        <f t="shared" si="7"/>
        <v>0.33626373626373629</v>
      </c>
    </row>
    <row r="102" spans="1:4" x14ac:dyDescent="0.3">
      <c r="A102">
        <v>92</v>
      </c>
      <c r="B102">
        <f t="shared" si="6"/>
        <v>276</v>
      </c>
      <c r="C102">
        <f t="shared" si="5"/>
        <v>92</v>
      </c>
      <c r="D102">
        <f t="shared" si="7"/>
        <v>0.33641304347826084</v>
      </c>
    </row>
    <row r="103" spans="1:4" x14ac:dyDescent="0.3">
      <c r="A103">
        <v>93</v>
      </c>
      <c r="B103">
        <f t="shared" si="6"/>
        <v>279</v>
      </c>
      <c r="C103">
        <f t="shared" si="5"/>
        <v>93</v>
      </c>
      <c r="D103">
        <f t="shared" si="7"/>
        <v>0.33655913978494623</v>
      </c>
    </row>
    <row r="104" spans="1:4" x14ac:dyDescent="0.3">
      <c r="A104">
        <v>94</v>
      </c>
      <c r="B104">
        <f t="shared" si="6"/>
        <v>282</v>
      </c>
      <c r="C104">
        <f t="shared" si="5"/>
        <v>94</v>
      </c>
      <c r="D104">
        <f t="shared" si="7"/>
        <v>0.33670212765957447</v>
      </c>
    </row>
    <row r="105" spans="1:4" x14ac:dyDescent="0.3">
      <c r="A105">
        <v>95</v>
      </c>
      <c r="B105">
        <f t="shared" si="6"/>
        <v>285</v>
      </c>
      <c r="C105">
        <f t="shared" si="5"/>
        <v>95</v>
      </c>
      <c r="D105">
        <f t="shared" si="7"/>
        <v>0.33684210526315789</v>
      </c>
    </row>
    <row r="106" spans="1:4" x14ac:dyDescent="0.3">
      <c r="A106">
        <v>96</v>
      </c>
      <c r="B106">
        <f t="shared" si="6"/>
        <v>288</v>
      </c>
      <c r="C106">
        <f t="shared" si="5"/>
        <v>96</v>
      </c>
      <c r="D106">
        <f t="shared" si="7"/>
        <v>0.33697916666666666</v>
      </c>
    </row>
    <row r="107" spans="1:4" x14ac:dyDescent="0.3">
      <c r="A107">
        <v>97</v>
      </c>
      <c r="B107">
        <f t="shared" si="6"/>
        <v>291</v>
      </c>
      <c r="C107">
        <f t="shared" si="5"/>
        <v>97</v>
      </c>
      <c r="D107">
        <f t="shared" si="7"/>
        <v>0.33711340206185569</v>
      </c>
    </row>
    <row r="108" spans="1:4" x14ac:dyDescent="0.3">
      <c r="A108">
        <v>98</v>
      </c>
      <c r="B108">
        <f t="shared" si="6"/>
        <v>294</v>
      </c>
      <c r="C108">
        <f t="shared" si="5"/>
        <v>98</v>
      </c>
      <c r="D108">
        <f t="shared" si="7"/>
        <v>0.33724489795918366</v>
      </c>
    </row>
    <row r="109" spans="1:4" x14ac:dyDescent="0.3">
      <c r="A109">
        <v>99</v>
      </c>
      <c r="B109">
        <f t="shared" si="6"/>
        <v>297</v>
      </c>
      <c r="C109">
        <f t="shared" si="5"/>
        <v>99</v>
      </c>
      <c r="D109">
        <f t="shared" si="7"/>
        <v>0.33737373737373738</v>
      </c>
    </row>
    <row r="110" spans="1:4" x14ac:dyDescent="0.3">
      <c r="A110">
        <v>100</v>
      </c>
      <c r="B110">
        <f t="shared" si="6"/>
        <v>300</v>
      </c>
      <c r="C110">
        <f t="shared" si="5"/>
        <v>100</v>
      </c>
      <c r="D110">
        <f t="shared" si="7"/>
        <v>0.33750000000000002</v>
      </c>
    </row>
    <row r="111" spans="1:4" x14ac:dyDescent="0.3">
      <c r="A111">
        <v>101</v>
      </c>
      <c r="B111">
        <f t="shared" si="6"/>
        <v>303</v>
      </c>
      <c r="C111">
        <f t="shared" si="5"/>
        <v>101</v>
      </c>
      <c r="D111">
        <f t="shared" si="7"/>
        <v>0.33762376237623759</v>
      </c>
    </row>
    <row r="112" spans="1:4" x14ac:dyDescent="0.3">
      <c r="A112">
        <v>102</v>
      </c>
      <c r="B112">
        <f t="shared" si="6"/>
        <v>306</v>
      </c>
      <c r="C112">
        <f t="shared" si="5"/>
        <v>102</v>
      </c>
      <c r="D112">
        <f t="shared" si="7"/>
        <v>0.33774509803921571</v>
      </c>
    </row>
    <row r="113" spans="1:4" x14ac:dyDescent="0.3">
      <c r="A113">
        <v>103</v>
      </c>
      <c r="B113">
        <f t="shared" si="6"/>
        <v>309</v>
      </c>
      <c r="C113">
        <f t="shared" si="5"/>
        <v>103</v>
      </c>
      <c r="D113">
        <f t="shared" si="7"/>
        <v>0.3378640776699029</v>
      </c>
    </row>
    <row r="114" spans="1:4" x14ac:dyDescent="0.3">
      <c r="A114">
        <v>104</v>
      </c>
      <c r="B114">
        <f t="shared" si="6"/>
        <v>312</v>
      </c>
      <c r="C114">
        <f t="shared" si="5"/>
        <v>104</v>
      </c>
      <c r="D114">
        <f t="shared" si="7"/>
        <v>0.33798076923076925</v>
      </c>
    </row>
    <row r="115" spans="1:4" x14ac:dyDescent="0.3">
      <c r="A115">
        <v>105</v>
      </c>
      <c r="B115">
        <f t="shared" si="6"/>
        <v>315</v>
      </c>
      <c r="C115">
        <f t="shared" si="5"/>
        <v>105</v>
      </c>
      <c r="D115">
        <f t="shared" si="7"/>
        <v>0.33809523809523812</v>
      </c>
    </row>
    <row r="116" spans="1:4" x14ac:dyDescent="0.3">
      <c r="A116">
        <v>106</v>
      </c>
      <c r="B116">
        <f t="shared" si="6"/>
        <v>318</v>
      </c>
      <c r="C116">
        <f t="shared" si="5"/>
        <v>106</v>
      </c>
      <c r="D116">
        <f t="shared" si="7"/>
        <v>0.33820754716981133</v>
      </c>
    </row>
    <row r="117" spans="1:4" x14ac:dyDescent="0.3">
      <c r="A117">
        <v>107</v>
      </c>
      <c r="B117">
        <f t="shared" si="6"/>
        <v>321</v>
      </c>
      <c r="C117">
        <f t="shared" si="5"/>
        <v>107</v>
      </c>
      <c r="D117">
        <f t="shared" si="7"/>
        <v>0.3383177570093458</v>
      </c>
    </row>
    <row r="118" spans="1:4" x14ac:dyDescent="0.3">
      <c r="A118">
        <v>108</v>
      </c>
      <c r="B118">
        <f t="shared" si="6"/>
        <v>324</v>
      </c>
      <c r="C118">
        <f t="shared" si="5"/>
        <v>108</v>
      </c>
      <c r="D118">
        <f t="shared" si="7"/>
        <v>0.33842592592592591</v>
      </c>
    </row>
    <row r="119" spans="1:4" x14ac:dyDescent="0.3">
      <c r="A119">
        <v>109</v>
      </c>
      <c r="B119">
        <f t="shared" si="6"/>
        <v>327</v>
      </c>
      <c r="C119">
        <f t="shared" si="5"/>
        <v>109</v>
      </c>
      <c r="D119">
        <f t="shared" si="7"/>
        <v>0.33853211009174311</v>
      </c>
    </row>
    <row r="120" spans="1:4" x14ac:dyDescent="0.3">
      <c r="A120">
        <v>110</v>
      </c>
      <c r="B120">
        <f t="shared" si="6"/>
        <v>330</v>
      </c>
      <c r="C120">
        <f t="shared" si="5"/>
        <v>110</v>
      </c>
      <c r="D120">
        <f t="shared" si="7"/>
        <v>0.33863636363636362</v>
      </c>
    </row>
    <row r="121" spans="1:4" x14ac:dyDescent="0.3">
      <c r="A121">
        <v>111</v>
      </c>
      <c r="B121">
        <f t="shared" si="6"/>
        <v>333</v>
      </c>
      <c r="C121">
        <f t="shared" si="5"/>
        <v>111</v>
      </c>
      <c r="D121">
        <f t="shared" si="7"/>
        <v>0.33873873873873872</v>
      </c>
    </row>
    <row r="122" spans="1:4" x14ac:dyDescent="0.3">
      <c r="A122">
        <v>112</v>
      </c>
      <c r="B122">
        <f t="shared" si="6"/>
        <v>336</v>
      </c>
      <c r="C122">
        <f t="shared" si="5"/>
        <v>112</v>
      </c>
      <c r="D122">
        <f t="shared" si="7"/>
        <v>0.33883928571428573</v>
      </c>
    </row>
    <row r="123" spans="1:4" x14ac:dyDescent="0.3">
      <c r="A123">
        <v>113</v>
      </c>
      <c r="B123">
        <f t="shared" si="6"/>
        <v>339</v>
      </c>
      <c r="C123">
        <f t="shared" si="5"/>
        <v>113</v>
      </c>
      <c r="D123">
        <f t="shared" si="7"/>
        <v>0.33893805309734515</v>
      </c>
    </row>
    <row r="124" spans="1:4" x14ac:dyDescent="0.3">
      <c r="A124">
        <v>114</v>
      </c>
      <c r="B124">
        <f t="shared" si="6"/>
        <v>342</v>
      </c>
      <c r="C124">
        <f t="shared" si="5"/>
        <v>114</v>
      </c>
      <c r="D124">
        <f t="shared" si="7"/>
        <v>0.33903508771929824</v>
      </c>
    </row>
    <row r="125" spans="1:4" x14ac:dyDescent="0.3">
      <c r="A125">
        <v>115</v>
      </c>
      <c r="B125">
        <f t="shared" si="6"/>
        <v>345</v>
      </c>
      <c r="C125">
        <f t="shared" si="5"/>
        <v>115</v>
      </c>
      <c r="D125">
        <f t="shared" si="7"/>
        <v>0.33913043478260874</v>
      </c>
    </row>
    <row r="126" spans="1:4" x14ac:dyDescent="0.3">
      <c r="A126">
        <v>116</v>
      </c>
      <c r="B126">
        <f t="shared" si="6"/>
        <v>348</v>
      </c>
      <c r="C126">
        <f t="shared" si="5"/>
        <v>116</v>
      </c>
      <c r="D126">
        <f t="shared" si="7"/>
        <v>0.33922413793103445</v>
      </c>
    </row>
    <row r="127" spans="1:4" x14ac:dyDescent="0.3">
      <c r="A127">
        <v>117</v>
      </c>
      <c r="B127">
        <f t="shared" si="6"/>
        <v>351</v>
      </c>
      <c r="C127">
        <f t="shared" si="5"/>
        <v>117</v>
      </c>
      <c r="D127">
        <f t="shared" si="7"/>
        <v>0.33931623931623933</v>
      </c>
    </row>
    <row r="128" spans="1:4" x14ac:dyDescent="0.3">
      <c r="A128">
        <v>118</v>
      </c>
      <c r="B128">
        <f t="shared" si="6"/>
        <v>354</v>
      </c>
      <c r="C128">
        <f t="shared" si="5"/>
        <v>118</v>
      </c>
      <c r="D128">
        <f t="shared" si="7"/>
        <v>0.33940677966101696</v>
      </c>
    </row>
    <row r="129" spans="1:4" x14ac:dyDescent="0.3">
      <c r="A129">
        <v>119</v>
      </c>
      <c r="B129">
        <f t="shared" si="6"/>
        <v>357</v>
      </c>
      <c r="C129">
        <f t="shared" si="5"/>
        <v>119</v>
      </c>
      <c r="D129">
        <f t="shared" si="7"/>
        <v>0.33949579831932775</v>
      </c>
    </row>
    <row r="130" spans="1:4" x14ac:dyDescent="0.3">
      <c r="A130">
        <v>120</v>
      </c>
      <c r="B130">
        <f t="shared" si="6"/>
        <v>360</v>
      </c>
      <c r="C130">
        <f t="shared" si="5"/>
        <v>120</v>
      </c>
      <c r="D130">
        <f t="shared" si="7"/>
        <v>0.33958333333333335</v>
      </c>
    </row>
    <row r="131" spans="1:4" x14ac:dyDescent="0.3">
      <c r="A131">
        <v>121</v>
      </c>
      <c r="B131">
        <f t="shared" si="6"/>
        <v>363</v>
      </c>
      <c r="C131">
        <f t="shared" si="5"/>
        <v>121</v>
      </c>
      <c r="D131">
        <f t="shared" si="7"/>
        <v>0.33966942148760332</v>
      </c>
    </row>
    <row r="132" spans="1:4" x14ac:dyDescent="0.3">
      <c r="A132">
        <v>122</v>
      </c>
      <c r="B132">
        <f t="shared" si="6"/>
        <v>366</v>
      </c>
      <c r="C132">
        <f t="shared" si="5"/>
        <v>122</v>
      </c>
      <c r="D132">
        <f t="shared" si="7"/>
        <v>0.33975409836065573</v>
      </c>
    </row>
    <row r="133" spans="1:4" x14ac:dyDescent="0.3">
      <c r="A133">
        <v>123</v>
      </c>
      <c r="B133">
        <f t="shared" si="6"/>
        <v>369</v>
      </c>
      <c r="C133">
        <f t="shared" si="5"/>
        <v>123</v>
      </c>
      <c r="D133">
        <f t="shared" si="7"/>
        <v>0.33983739837398375</v>
      </c>
    </row>
    <row r="134" spans="1:4" x14ac:dyDescent="0.3">
      <c r="A134">
        <v>124</v>
      </c>
      <c r="B134">
        <f t="shared" si="6"/>
        <v>372</v>
      </c>
      <c r="C134">
        <f t="shared" si="5"/>
        <v>124</v>
      </c>
      <c r="D134">
        <f t="shared" si="7"/>
        <v>0.33991935483870972</v>
      </c>
    </row>
    <row r="135" spans="1:4" x14ac:dyDescent="0.3">
      <c r="A135">
        <v>125</v>
      </c>
      <c r="B135">
        <f t="shared" si="6"/>
        <v>375</v>
      </c>
      <c r="C135">
        <f t="shared" si="5"/>
        <v>125</v>
      </c>
      <c r="D135">
        <f t="shared" si="7"/>
        <v>0.33999999999999997</v>
      </c>
    </row>
    <row r="136" spans="1:4" x14ac:dyDescent="0.3">
      <c r="A136">
        <v>126</v>
      </c>
      <c r="B136">
        <f t="shared" si="6"/>
        <v>378</v>
      </c>
      <c r="C136">
        <f t="shared" si="5"/>
        <v>126</v>
      </c>
      <c r="D136">
        <f t="shared" si="7"/>
        <v>0.34007936507936509</v>
      </c>
    </row>
    <row r="137" spans="1:4" x14ac:dyDescent="0.3">
      <c r="A137">
        <v>127</v>
      </c>
      <c r="B137">
        <f t="shared" si="6"/>
        <v>381</v>
      </c>
      <c r="C137">
        <f t="shared" si="5"/>
        <v>127</v>
      </c>
      <c r="D137">
        <f t="shared" si="7"/>
        <v>0.34015748031496063</v>
      </c>
    </row>
    <row r="138" spans="1:4" x14ac:dyDescent="0.3">
      <c r="A138">
        <v>128</v>
      </c>
      <c r="B138">
        <f t="shared" si="6"/>
        <v>384</v>
      </c>
      <c r="C138">
        <f t="shared" si="5"/>
        <v>128</v>
      </c>
      <c r="D138">
        <f t="shared" si="7"/>
        <v>0.34023437499999998</v>
      </c>
    </row>
    <row r="139" spans="1:4" x14ac:dyDescent="0.3">
      <c r="A139">
        <v>129</v>
      </c>
      <c r="B139">
        <f t="shared" si="6"/>
        <v>387</v>
      </c>
      <c r="C139">
        <f t="shared" si="5"/>
        <v>129</v>
      </c>
      <c r="D139">
        <f t="shared" si="7"/>
        <v>0.34031007751937986</v>
      </c>
    </row>
    <row r="140" spans="1:4" x14ac:dyDescent="0.3">
      <c r="A140">
        <v>130</v>
      </c>
      <c r="B140">
        <f t="shared" si="6"/>
        <v>390</v>
      </c>
      <c r="C140">
        <f t="shared" si="5"/>
        <v>130</v>
      </c>
      <c r="D140">
        <f t="shared" si="7"/>
        <v>0.3403846153846154</v>
      </c>
    </row>
    <row r="141" spans="1:4" x14ac:dyDescent="0.3">
      <c r="A141">
        <v>131</v>
      </c>
      <c r="B141">
        <f t="shared" si="6"/>
        <v>393</v>
      </c>
      <c r="C141">
        <f t="shared" si="5"/>
        <v>131</v>
      </c>
      <c r="D141">
        <f t="shared" si="7"/>
        <v>0.34045801526717556</v>
      </c>
    </row>
    <row r="142" spans="1:4" x14ac:dyDescent="0.3">
      <c r="A142">
        <v>132</v>
      </c>
      <c r="B142">
        <f t="shared" si="6"/>
        <v>396</v>
      </c>
      <c r="C142">
        <f t="shared" ref="C142:C205" si="8">+C141+1</f>
        <v>132</v>
      </c>
      <c r="D142">
        <f t="shared" si="7"/>
        <v>0.34053030303030307</v>
      </c>
    </row>
    <row r="143" spans="1:4" x14ac:dyDescent="0.3">
      <c r="A143">
        <v>133</v>
      </c>
      <c r="B143">
        <f t="shared" si="6"/>
        <v>399</v>
      </c>
      <c r="C143">
        <f t="shared" si="8"/>
        <v>133</v>
      </c>
      <c r="D143">
        <f t="shared" si="7"/>
        <v>0.34060150375939846</v>
      </c>
    </row>
    <row r="144" spans="1:4" x14ac:dyDescent="0.3">
      <c r="A144">
        <v>134</v>
      </c>
      <c r="B144">
        <f t="shared" si="6"/>
        <v>402</v>
      </c>
      <c r="C144">
        <f t="shared" si="8"/>
        <v>134</v>
      </c>
      <c r="D144">
        <f t="shared" si="7"/>
        <v>0.34067164179104481</v>
      </c>
    </row>
    <row r="145" spans="1:4" x14ac:dyDescent="0.3">
      <c r="A145">
        <v>135</v>
      </c>
      <c r="B145">
        <f t="shared" si="6"/>
        <v>405</v>
      </c>
      <c r="C145">
        <f t="shared" si="8"/>
        <v>135</v>
      </c>
      <c r="D145">
        <f t="shared" si="7"/>
        <v>0.34074074074074073</v>
      </c>
    </row>
    <row r="146" spans="1:4" x14ac:dyDescent="0.3">
      <c r="A146">
        <v>136</v>
      </c>
      <c r="B146">
        <f t="shared" si="6"/>
        <v>408</v>
      </c>
      <c r="C146">
        <f t="shared" si="8"/>
        <v>136</v>
      </c>
      <c r="D146">
        <f t="shared" si="7"/>
        <v>0.34080882352941178</v>
      </c>
    </row>
    <row r="147" spans="1:4" x14ac:dyDescent="0.3">
      <c r="A147">
        <v>137</v>
      </c>
      <c r="B147">
        <f t="shared" si="6"/>
        <v>411</v>
      </c>
      <c r="C147">
        <f t="shared" si="8"/>
        <v>137</v>
      </c>
      <c r="D147">
        <f t="shared" si="7"/>
        <v>0.34087591240875914</v>
      </c>
    </row>
    <row r="148" spans="1:4" x14ac:dyDescent="0.3">
      <c r="A148">
        <v>138</v>
      </c>
      <c r="B148">
        <f t="shared" ref="B148:B211" si="9">3*A148</f>
        <v>414</v>
      </c>
      <c r="C148">
        <f t="shared" si="8"/>
        <v>138</v>
      </c>
      <c r="D148">
        <f t="shared" ref="D148:D211" si="10">IF(B148&gt;$B$8,$J$4+$J$5*(B148-$B$8)/B148,0)</f>
        <v>0.34094202898550724</v>
      </c>
    </row>
    <row r="149" spans="1:4" x14ac:dyDescent="0.3">
      <c r="A149">
        <v>139</v>
      </c>
      <c r="B149">
        <f t="shared" si="9"/>
        <v>417</v>
      </c>
      <c r="C149">
        <f t="shared" si="8"/>
        <v>139</v>
      </c>
      <c r="D149">
        <f t="shared" si="10"/>
        <v>0.34100719424460435</v>
      </c>
    </row>
    <row r="150" spans="1:4" x14ac:dyDescent="0.3">
      <c r="A150">
        <v>140</v>
      </c>
      <c r="B150">
        <f t="shared" si="9"/>
        <v>420</v>
      </c>
      <c r="C150">
        <f t="shared" si="8"/>
        <v>140</v>
      </c>
      <c r="D150">
        <f t="shared" si="10"/>
        <v>0.34107142857142858</v>
      </c>
    </row>
    <row r="151" spans="1:4" x14ac:dyDescent="0.3">
      <c r="A151">
        <v>141</v>
      </c>
      <c r="B151">
        <f t="shared" si="9"/>
        <v>423</v>
      </c>
      <c r="C151">
        <f t="shared" si="8"/>
        <v>141</v>
      </c>
      <c r="D151">
        <f t="shared" si="10"/>
        <v>0.34113475177304964</v>
      </c>
    </row>
    <row r="152" spans="1:4" x14ac:dyDescent="0.3">
      <c r="A152">
        <v>142</v>
      </c>
      <c r="B152">
        <f t="shared" si="9"/>
        <v>426</v>
      </c>
      <c r="C152">
        <f t="shared" si="8"/>
        <v>142</v>
      </c>
      <c r="D152">
        <f t="shared" si="10"/>
        <v>0.34119718309859159</v>
      </c>
    </row>
    <row r="153" spans="1:4" x14ac:dyDescent="0.3">
      <c r="A153">
        <v>143</v>
      </c>
      <c r="B153">
        <f t="shared" si="9"/>
        <v>429</v>
      </c>
      <c r="C153">
        <f t="shared" si="8"/>
        <v>143</v>
      </c>
      <c r="D153">
        <f t="shared" si="10"/>
        <v>0.34125874125874123</v>
      </c>
    </row>
    <row r="154" spans="1:4" x14ac:dyDescent="0.3">
      <c r="A154">
        <v>144</v>
      </c>
      <c r="B154">
        <f t="shared" si="9"/>
        <v>432</v>
      </c>
      <c r="C154">
        <f t="shared" si="8"/>
        <v>144</v>
      </c>
      <c r="D154">
        <f t="shared" si="10"/>
        <v>0.34131944444444445</v>
      </c>
    </row>
    <row r="155" spans="1:4" x14ac:dyDescent="0.3">
      <c r="A155">
        <v>145</v>
      </c>
      <c r="B155">
        <f t="shared" si="9"/>
        <v>435</v>
      </c>
      <c r="C155">
        <f t="shared" si="8"/>
        <v>145</v>
      </c>
      <c r="D155">
        <f t="shared" si="10"/>
        <v>0.3413793103448276</v>
      </c>
    </row>
    <row r="156" spans="1:4" x14ac:dyDescent="0.3">
      <c r="A156">
        <v>146</v>
      </c>
      <c r="B156">
        <f t="shared" si="9"/>
        <v>438</v>
      </c>
      <c r="C156">
        <f t="shared" si="8"/>
        <v>146</v>
      </c>
      <c r="D156">
        <f t="shared" si="10"/>
        <v>0.34143835616438356</v>
      </c>
    </row>
    <row r="157" spans="1:4" x14ac:dyDescent="0.3">
      <c r="A157">
        <v>147</v>
      </c>
      <c r="B157">
        <f t="shared" si="9"/>
        <v>441</v>
      </c>
      <c r="C157">
        <f t="shared" si="8"/>
        <v>147</v>
      </c>
      <c r="D157">
        <f t="shared" si="10"/>
        <v>0.34149659863945581</v>
      </c>
    </row>
    <row r="158" spans="1:4" x14ac:dyDescent="0.3">
      <c r="A158">
        <v>148</v>
      </c>
      <c r="B158">
        <f t="shared" si="9"/>
        <v>444</v>
      </c>
      <c r="C158">
        <f t="shared" si="8"/>
        <v>148</v>
      </c>
      <c r="D158">
        <f t="shared" si="10"/>
        <v>0.34155405405405403</v>
      </c>
    </row>
    <row r="159" spans="1:4" x14ac:dyDescent="0.3">
      <c r="A159">
        <v>149</v>
      </c>
      <c r="B159">
        <f t="shared" si="9"/>
        <v>447</v>
      </c>
      <c r="C159">
        <f t="shared" si="8"/>
        <v>149</v>
      </c>
      <c r="D159">
        <f t="shared" si="10"/>
        <v>0.34161073825503357</v>
      </c>
    </row>
    <row r="160" spans="1:4" x14ac:dyDescent="0.3">
      <c r="A160">
        <v>150</v>
      </c>
      <c r="B160">
        <f t="shared" si="9"/>
        <v>450</v>
      </c>
      <c r="C160">
        <f t="shared" si="8"/>
        <v>150</v>
      </c>
      <c r="D160">
        <f t="shared" si="10"/>
        <v>0.34166666666666667</v>
      </c>
    </row>
    <row r="161" spans="1:4" x14ac:dyDescent="0.3">
      <c r="A161">
        <v>151</v>
      </c>
      <c r="B161">
        <f t="shared" si="9"/>
        <v>453</v>
      </c>
      <c r="C161">
        <f t="shared" si="8"/>
        <v>151</v>
      </c>
      <c r="D161">
        <f t="shared" si="10"/>
        <v>0.34172185430463575</v>
      </c>
    </row>
    <row r="162" spans="1:4" x14ac:dyDescent="0.3">
      <c r="A162">
        <v>152</v>
      </c>
      <c r="B162">
        <f t="shared" si="9"/>
        <v>456</v>
      </c>
      <c r="C162">
        <f t="shared" si="8"/>
        <v>152</v>
      </c>
      <c r="D162">
        <f t="shared" si="10"/>
        <v>0.34177631578947365</v>
      </c>
    </row>
    <row r="163" spans="1:4" x14ac:dyDescent="0.3">
      <c r="A163">
        <v>153</v>
      </c>
      <c r="B163">
        <f t="shared" si="9"/>
        <v>459</v>
      </c>
      <c r="C163">
        <f t="shared" si="8"/>
        <v>153</v>
      </c>
      <c r="D163">
        <f t="shared" si="10"/>
        <v>0.34183006535947713</v>
      </c>
    </row>
    <row r="164" spans="1:4" x14ac:dyDescent="0.3">
      <c r="A164">
        <v>154</v>
      </c>
      <c r="B164">
        <f t="shared" si="9"/>
        <v>462</v>
      </c>
      <c r="C164">
        <f t="shared" si="8"/>
        <v>154</v>
      </c>
      <c r="D164">
        <f t="shared" si="10"/>
        <v>0.3418831168831169</v>
      </c>
    </row>
    <row r="165" spans="1:4" x14ac:dyDescent="0.3">
      <c r="A165">
        <v>155</v>
      </c>
      <c r="B165">
        <f t="shared" si="9"/>
        <v>465</v>
      </c>
      <c r="C165">
        <f t="shared" si="8"/>
        <v>155</v>
      </c>
      <c r="D165">
        <f t="shared" si="10"/>
        <v>0.34193548387096773</v>
      </c>
    </row>
    <row r="166" spans="1:4" x14ac:dyDescent="0.3">
      <c r="A166">
        <v>156</v>
      </c>
      <c r="B166">
        <f t="shared" si="9"/>
        <v>468</v>
      </c>
      <c r="C166">
        <f t="shared" si="8"/>
        <v>156</v>
      </c>
      <c r="D166">
        <f t="shared" si="10"/>
        <v>0.34198717948717949</v>
      </c>
    </row>
    <row r="167" spans="1:4" x14ac:dyDescent="0.3">
      <c r="A167">
        <v>157</v>
      </c>
      <c r="B167">
        <f t="shared" si="9"/>
        <v>471</v>
      </c>
      <c r="C167">
        <f t="shared" si="8"/>
        <v>157</v>
      </c>
      <c r="D167">
        <f t="shared" si="10"/>
        <v>0.34203821656050959</v>
      </c>
    </row>
    <row r="168" spans="1:4" x14ac:dyDescent="0.3">
      <c r="A168">
        <v>158</v>
      </c>
      <c r="B168">
        <f t="shared" si="9"/>
        <v>474</v>
      </c>
      <c r="C168">
        <f t="shared" si="8"/>
        <v>158</v>
      </c>
      <c r="D168">
        <f t="shared" si="10"/>
        <v>0.34208860759493676</v>
      </c>
    </row>
    <row r="169" spans="1:4" x14ac:dyDescent="0.3">
      <c r="A169">
        <v>159</v>
      </c>
      <c r="B169">
        <f t="shared" si="9"/>
        <v>477</v>
      </c>
      <c r="C169">
        <f t="shared" si="8"/>
        <v>159</v>
      </c>
      <c r="D169">
        <f t="shared" si="10"/>
        <v>0.34213836477987425</v>
      </c>
    </row>
    <row r="170" spans="1:4" x14ac:dyDescent="0.3">
      <c r="A170">
        <v>160</v>
      </c>
      <c r="B170">
        <f t="shared" si="9"/>
        <v>480</v>
      </c>
      <c r="C170">
        <f t="shared" si="8"/>
        <v>160</v>
      </c>
      <c r="D170">
        <f t="shared" si="10"/>
        <v>0.34218749999999998</v>
      </c>
    </row>
    <row r="171" spans="1:4" x14ac:dyDescent="0.3">
      <c r="A171">
        <v>161</v>
      </c>
      <c r="B171">
        <f t="shared" si="9"/>
        <v>483</v>
      </c>
      <c r="C171">
        <f t="shared" si="8"/>
        <v>161</v>
      </c>
      <c r="D171">
        <f t="shared" si="10"/>
        <v>0.34223602484472049</v>
      </c>
    </row>
    <row r="172" spans="1:4" x14ac:dyDescent="0.3">
      <c r="A172">
        <v>162</v>
      </c>
      <c r="B172">
        <f t="shared" si="9"/>
        <v>486</v>
      </c>
      <c r="C172">
        <f t="shared" si="8"/>
        <v>162</v>
      </c>
      <c r="D172">
        <f t="shared" si="10"/>
        <v>0.34228395061728395</v>
      </c>
    </row>
    <row r="173" spans="1:4" x14ac:dyDescent="0.3">
      <c r="A173">
        <v>163</v>
      </c>
      <c r="B173">
        <f t="shared" si="9"/>
        <v>489</v>
      </c>
      <c r="C173">
        <f t="shared" si="8"/>
        <v>163</v>
      </c>
      <c r="D173">
        <f t="shared" si="10"/>
        <v>0.3423312883435583</v>
      </c>
    </row>
    <row r="174" spans="1:4" x14ac:dyDescent="0.3">
      <c r="A174">
        <v>164</v>
      </c>
      <c r="B174">
        <f t="shared" si="9"/>
        <v>492</v>
      </c>
      <c r="C174">
        <f t="shared" si="8"/>
        <v>164</v>
      </c>
      <c r="D174">
        <f t="shared" si="10"/>
        <v>0.34237804878048783</v>
      </c>
    </row>
    <row r="175" spans="1:4" x14ac:dyDescent="0.3">
      <c r="A175">
        <v>165</v>
      </c>
      <c r="B175">
        <f t="shared" si="9"/>
        <v>495</v>
      </c>
      <c r="C175">
        <f t="shared" si="8"/>
        <v>165</v>
      </c>
      <c r="D175">
        <f t="shared" si="10"/>
        <v>0.34242424242424241</v>
      </c>
    </row>
    <row r="176" spans="1:4" x14ac:dyDescent="0.3">
      <c r="A176">
        <v>166</v>
      </c>
      <c r="B176">
        <f t="shared" si="9"/>
        <v>498</v>
      </c>
      <c r="C176">
        <f t="shared" si="8"/>
        <v>166</v>
      </c>
      <c r="D176">
        <f t="shared" si="10"/>
        <v>0.34246987951807228</v>
      </c>
    </row>
    <row r="177" spans="1:4" x14ac:dyDescent="0.3">
      <c r="A177">
        <v>167</v>
      </c>
      <c r="B177">
        <f t="shared" si="9"/>
        <v>501</v>
      </c>
      <c r="C177">
        <f t="shared" si="8"/>
        <v>167</v>
      </c>
      <c r="D177">
        <f t="shared" si="10"/>
        <v>0.34251497005988024</v>
      </c>
    </row>
    <row r="178" spans="1:4" x14ac:dyDescent="0.3">
      <c r="A178">
        <v>168</v>
      </c>
      <c r="B178">
        <f t="shared" si="9"/>
        <v>504</v>
      </c>
      <c r="C178">
        <f t="shared" si="8"/>
        <v>168</v>
      </c>
      <c r="D178">
        <f t="shared" si="10"/>
        <v>0.34255952380952381</v>
      </c>
    </row>
    <row r="179" spans="1:4" x14ac:dyDescent="0.3">
      <c r="A179">
        <v>169</v>
      </c>
      <c r="B179">
        <f t="shared" si="9"/>
        <v>507</v>
      </c>
      <c r="C179">
        <f t="shared" si="8"/>
        <v>169</v>
      </c>
      <c r="D179">
        <f t="shared" si="10"/>
        <v>0.34260355029585798</v>
      </c>
    </row>
    <row r="180" spans="1:4" x14ac:dyDescent="0.3">
      <c r="A180">
        <v>170</v>
      </c>
      <c r="B180">
        <f t="shared" si="9"/>
        <v>510</v>
      </c>
      <c r="C180">
        <f t="shared" si="8"/>
        <v>170</v>
      </c>
      <c r="D180">
        <f t="shared" si="10"/>
        <v>0.34264705882352942</v>
      </c>
    </row>
    <row r="181" spans="1:4" x14ac:dyDescent="0.3">
      <c r="A181">
        <v>171</v>
      </c>
      <c r="B181">
        <f t="shared" si="9"/>
        <v>513</v>
      </c>
      <c r="C181">
        <f t="shared" si="8"/>
        <v>171</v>
      </c>
      <c r="D181">
        <f t="shared" si="10"/>
        <v>0.34269005847953216</v>
      </c>
    </row>
    <row r="182" spans="1:4" x14ac:dyDescent="0.3">
      <c r="A182">
        <v>172</v>
      </c>
      <c r="B182">
        <f t="shared" si="9"/>
        <v>516</v>
      </c>
      <c r="C182">
        <f t="shared" si="8"/>
        <v>172</v>
      </c>
      <c r="D182">
        <f t="shared" si="10"/>
        <v>0.34273255813953485</v>
      </c>
    </row>
    <row r="183" spans="1:4" x14ac:dyDescent="0.3">
      <c r="A183">
        <v>173</v>
      </c>
      <c r="B183">
        <f t="shared" si="9"/>
        <v>519</v>
      </c>
      <c r="C183">
        <f t="shared" si="8"/>
        <v>173</v>
      </c>
      <c r="D183">
        <f t="shared" si="10"/>
        <v>0.34277456647398841</v>
      </c>
    </row>
    <row r="184" spans="1:4" x14ac:dyDescent="0.3">
      <c r="A184">
        <v>174</v>
      </c>
      <c r="B184">
        <f t="shared" si="9"/>
        <v>522</v>
      </c>
      <c r="C184">
        <f t="shared" si="8"/>
        <v>174</v>
      </c>
      <c r="D184">
        <f t="shared" si="10"/>
        <v>0.34281609195402296</v>
      </c>
    </row>
    <row r="185" spans="1:4" x14ac:dyDescent="0.3">
      <c r="A185">
        <v>175</v>
      </c>
      <c r="B185">
        <f t="shared" si="9"/>
        <v>525</v>
      </c>
      <c r="C185">
        <f t="shared" si="8"/>
        <v>175</v>
      </c>
      <c r="D185">
        <f t="shared" si="10"/>
        <v>0.34285714285714286</v>
      </c>
    </row>
    <row r="186" spans="1:4" x14ac:dyDescent="0.3">
      <c r="A186">
        <v>176</v>
      </c>
      <c r="B186">
        <f t="shared" si="9"/>
        <v>528</v>
      </c>
      <c r="C186">
        <f t="shared" si="8"/>
        <v>176</v>
      </c>
      <c r="D186">
        <f t="shared" si="10"/>
        <v>0.34289772727272727</v>
      </c>
    </row>
    <row r="187" spans="1:4" x14ac:dyDescent="0.3">
      <c r="A187">
        <v>177</v>
      </c>
      <c r="B187">
        <f t="shared" si="9"/>
        <v>531</v>
      </c>
      <c r="C187">
        <f t="shared" si="8"/>
        <v>177</v>
      </c>
      <c r="D187">
        <f t="shared" si="10"/>
        <v>0.34293785310734465</v>
      </c>
    </row>
    <row r="188" spans="1:4" x14ac:dyDescent="0.3">
      <c r="A188">
        <v>178</v>
      </c>
      <c r="B188">
        <f t="shared" si="9"/>
        <v>534</v>
      </c>
      <c r="C188">
        <f t="shared" si="8"/>
        <v>178</v>
      </c>
      <c r="D188">
        <f t="shared" si="10"/>
        <v>0.34297752808988768</v>
      </c>
    </row>
    <row r="189" spans="1:4" x14ac:dyDescent="0.3">
      <c r="A189">
        <v>179</v>
      </c>
      <c r="B189">
        <f t="shared" si="9"/>
        <v>537</v>
      </c>
      <c r="C189">
        <f t="shared" si="8"/>
        <v>179</v>
      </c>
      <c r="D189">
        <f t="shared" si="10"/>
        <v>0.34301675977653634</v>
      </c>
    </row>
    <row r="190" spans="1:4" x14ac:dyDescent="0.3">
      <c r="A190">
        <v>180</v>
      </c>
      <c r="B190">
        <f t="shared" si="9"/>
        <v>540</v>
      </c>
      <c r="C190">
        <f t="shared" si="8"/>
        <v>180</v>
      </c>
      <c r="D190">
        <f t="shared" si="10"/>
        <v>0.34305555555555556</v>
      </c>
    </row>
    <row r="191" spans="1:4" x14ac:dyDescent="0.3">
      <c r="A191">
        <v>181</v>
      </c>
      <c r="B191">
        <f t="shared" si="9"/>
        <v>543</v>
      </c>
      <c r="C191">
        <f t="shared" si="8"/>
        <v>181</v>
      </c>
      <c r="D191">
        <f t="shared" si="10"/>
        <v>0.34309392265193372</v>
      </c>
    </row>
    <row r="192" spans="1:4" x14ac:dyDescent="0.3">
      <c r="A192">
        <v>182</v>
      </c>
      <c r="B192">
        <f t="shared" si="9"/>
        <v>546</v>
      </c>
      <c r="C192">
        <f t="shared" si="8"/>
        <v>182</v>
      </c>
      <c r="D192">
        <f t="shared" si="10"/>
        <v>0.34313186813186813</v>
      </c>
    </row>
    <row r="193" spans="1:4" x14ac:dyDescent="0.3">
      <c r="A193">
        <v>183</v>
      </c>
      <c r="B193">
        <f t="shared" si="9"/>
        <v>549</v>
      </c>
      <c r="C193">
        <f t="shared" si="8"/>
        <v>183</v>
      </c>
      <c r="D193">
        <f t="shared" si="10"/>
        <v>0.34316939890710385</v>
      </c>
    </row>
    <row r="194" spans="1:4" x14ac:dyDescent="0.3">
      <c r="A194">
        <v>184</v>
      </c>
      <c r="B194">
        <f t="shared" si="9"/>
        <v>552</v>
      </c>
      <c r="C194">
        <f t="shared" si="8"/>
        <v>184</v>
      </c>
      <c r="D194">
        <f t="shared" si="10"/>
        <v>0.34320652173913047</v>
      </c>
    </row>
    <row r="195" spans="1:4" x14ac:dyDescent="0.3">
      <c r="A195">
        <v>185</v>
      </c>
      <c r="B195">
        <f t="shared" si="9"/>
        <v>555</v>
      </c>
      <c r="C195">
        <f t="shared" si="8"/>
        <v>185</v>
      </c>
      <c r="D195">
        <f t="shared" si="10"/>
        <v>0.34324324324324329</v>
      </c>
    </row>
    <row r="196" spans="1:4" x14ac:dyDescent="0.3">
      <c r="A196">
        <v>186</v>
      </c>
      <c r="B196">
        <f t="shared" si="9"/>
        <v>558</v>
      </c>
      <c r="C196">
        <f t="shared" si="8"/>
        <v>186</v>
      </c>
      <c r="D196">
        <f t="shared" si="10"/>
        <v>0.3432795698924731</v>
      </c>
    </row>
    <row r="197" spans="1:4" x14ac:dyDescent="0.3">
      <c r="A197">
        <v>187</v>
      </c>
      <c r="B197">
        <f t="shared" si="9"/>
        <v>561</v>
      </c>
      <c r="C197">
        <f t="shared" si="8"/>
        <v>187</v>
      </c>
      <c r="D197">
        <f t="shared" si="10"/>
        <v>0.34331550802139038</v>
      </c>
    </row>
    <row r="198" spans="1:4" x14ac:dyDescent="0.3">
      <c r="A198">
        <v>188</v>
      </c>
      <c r="B198">
        <f t="shared" si="9"/>
        <v>564</v>
      </c>
      <c r="C198">
        <f t="shared" si="8"/>
        <v>188</v>
      </c>
      <c r="D198">
        <f t="shared" si="10"/>
        <v>0.34335106382978725</v>
      </c>
    </row>
    <row r="199" spans="1:4" x14ac:dyDescent="0.3">
      <c r="A199">
        <v>189</v>
      </c>
      <c r="B199">
        <f t="shared" si="9"/>
        <v>567</v>
      </c>
      <c r="C199">
        <f t="shared" si="8"/>
        <v>189</v>
      </c>
      <c r="D199">
        <f t="shared" si="10"/>
        <v>0.34338624338624335</v>
      </c>
    </row>
    <row r="200" spans="1:4" x14ac:dyDescent="0.3">
      <c r="A200">
        <v>190</v>
      </c>
      <c r="B200">
        <f t="shared" si="9"/>
        <v>570</v>
      </c>
      <c r="C200">
        <f t="shared" si="8"/>
        <v>190</v>
      </c>
      <c r="D200">
        <f t="shared" si="10"/>
        <v>0.34342105263157896</v>
      </c>
    </row>
    <row r="201" spans="1:4" x14ac:dyDescent="0.3">
      <c r="A201">
        <v>191</v>
      </c>
      <c r="B201">
        <f t="shared" si="9"/>
        <v>573</v>
      </c>
      <c r="C201">
        <f t="shared" si="8"/>
        <v>191</v>
      </c>
      <c r="D201">
        <f t="shared" si="10"/>
        <v>0.34345549738219894</v>
      </c>
    </row>
    <row r="202" spans="1:4" x14ac:dyDescent="0.3">
      <c r="A202">
        <v>192</v>
      </c>
      <c r="B202">
        <f t="shared" si="9"/>
        <v>576</v>
      </c>
      <c r="C202">
        <f t="shared" si="8"/>
        <v>192</v>
      </c>
      <c r="D202">
        <f t="shared" si="10"/>
        <v>0.34348958333333335</v>
      </c>
    </row>
    <row r="203" spans="1:4" x14ac:dyDescent="0.3">
      <c r="A203">
        <v>193</v>
      </c>
      <c r="B203">
        <f t="shared" si="9"/>
        <v>579</v>
      </c>
      <c r="C203">
        <f t="shared" si="8"/>
        <v>193</v>
      </c>
      <c r="D203">
        <f t="shared" si="10"/>
        <v>0.34352331606217618</v>
      </c>
    </row>
    <row r="204" spans="1:4" x14ac:dyDescent="0.3">
      <c r="A204">
        <v>194</v>
      </c>
      <c r="B204">
        <f t="shared" si="9"/>
        <v>582</v>
      </c>
      <c r="C204">
        <f t="shared" si="8"/>
        <v>194</v>
      </c>
      <c r="D204">
        <f t="shared" si="10"/>
        <v>0.34355670103092784</v>
      </c>
    </row>
    <row r="205" spans="1:4" x14ac:dyDescent="0.3">
      <c r="A205">
        <v>195</v>
      </c>
      <c r="B205">
        <f t="shared" si="9"/>
        <v>585</v>
      </c>
      <c r="C205">
        <f t="shared" si="8"/>
        <v>195</v>
      </c>
      <c r="D205">
        <f t="shared" si="10"/>
        <v>0.34358974358974359</v>
      </c>
    </row>
    <row r="206" spans="1:4" x14ac:dyDescent="0.3">
      <c r="A206">
        <v>196</v>
      </c>
      <c r="B206">
        <f t="shared" si="9"/>
        <v>588</v>
      </c>
      <c r="C206">
        <f t="shared" ref="C206:C269" si="11">+C205+1</f>
        <v>196</v>
      </c>
      <c r="D206">
        <f t="shared" si="10"/>
        <v>0.34362244897959182</v>
      </c>
    </row>
    <row r="207" spans="1:4" x14ac:dyDescent="0.3">
      <c r="A207">
        <v>197</v>
      </c>
      <c r="B207">
        <f t="shared" si="9"/>
        <v>591</v>
      </c>
      <c r="C207">
        <f t="shared" si="11"/>
        <v>197</v>
      </c>
      <c r="D207">
        <f t="shared" si="10"/>
        <v>0.34365482233502542</v>
      </c>
    </row>
    <row r="208" spans="1:4" x14ac:dyDescent="0.3">
      <c r="A208">
        <v>198</v>
      </c>
      <c r="B208">
        <f t="shared" si="9"/>
        <v>594</v>
      </c>
      <c r="C208">
        <f t="shared" si="11"/>
        <v>198</v>
      </c>
      <c r="D208">
        <f t="shared" si="10"/>
        <v>0.34368686868686871</v>
      </c>
    </row>
    <row r="209" spans="1:4" x14ac:dyDescent="0.3">
      <c r="A209">
        <v>199</v>
      </c>
      <c r="B209">
        <f t="shared" si="9"/>
        <v>597</v>
      </c>
      <c r="C209">
        <f t="shared" si="11"/>
        <v>199</v>
      </c>
      <c r="D209">
        <f t="shared" si="10"/>
        <v>0.3437185929648241</v>
      </c>
    </row>
    <row r="210" spans="1:4" x14ac:dyDescent="0.3">
      <c r="A210">
        <v>200</v>
      </c>
      <c r="B210">
        <f t="shared" si="9"/>
        <v>600</v>
      </c>
      <c r="C210">
        <f t="shared" si="11"/>
        <v>200</v>
      </c>
      <c r="D210">
        <f t="shared" si="10"/>
        <v>0.34375</v>
      </c>
    </row>
    <row r="211" spans="1:4" x14ac:dyDescent="0.3">
      <c r="A211">
        <v>201</v>
      </c>
      <c r="B211">
        <f t="shared" si="9"/>
        <v>603</v>
      </c>
      <c r="C211">
        <f t="shared" si="11"/>
        <v>201</v>
      </c>
      <c r="D211">
        <f t="shared" si="10"/>
        <v>0.34378109452736316</v>
      </c>
    </row>
    <row r="212" spans="1:4" x14ac:dyDescent="0.3">
      <c r="A212">
        <v>202</v>
      </c>
      <c r="B212">
        <f t="shared" ref="B212:B275" si="12">3*A212</f>
        <v>606</v>
      </c>
      <c r="C212">
        <f t="shared" si="11"/>
        <v>202</v>
      </c>
      <c r="D212">
        <f t="shared" ref="D212:D275" si="13">IF(B212&gt;$B$8,$J$4+$J$5*(B212-$B$8)/B212,0)</f>
        <v>0.34381188118811878</v>
      </c>
    </row>
    <row r="213" spans="1:4" x14ac:dyDescent="0.3">
      <c r="A213">
        <v>203</v>
      </c>
      <c r="B213">
        <f t="shared" si="12"/>
        <v>609</v>
      </c>
      <c r="C213">
        <f t="shared" si="11"/>
        <v>203</v>
      </c>
      <c r="D213">
        <f t="shared" si="13"/>
        <v>0.34384236453201972</v>
      </c>
    </row>
    <row r="214" spans="1:4" x14ac:dyDescent="0.3">
      <c r="A214">
        <v>204</v>
      </c>
      <c r="B214">
        <f t="shared" si="12"/>
        <v>612</v>
      </c>
      <c r="C214">
        <f t="shared" si="11"/>
        <v>204</v>
      </c>
      <c r="D214">
        <f t="shared" si="13"/>
        <v>0.34387254901960784</v>
      </c>
    </row>
    <row r="215" spans="1:4" x14ac:dyDescent="0.3">
      <c r="A215">
        <v>205</v>
      </c>
      <c r="B215">
        <f t="shared" si="12"/>
        <v>615</v>
      </c>
      <c r="C215">
        <f t="shared" si="11"/>
        <v>205</v>
      </c>
      <c r="D215">
        <f t="shared" si="13"/>
        <v>0.34390243902439022</v>
      </c>
    </row>
    <row r="216" spans="1:4" x14ac:dyDescent="0.3">
      <c r="A216">
        <v>206</v>
      </c>
      <c r="B216">
        <f t="shared" si="12"/>
        <v>618</v>
      </c>
      <c r="C216">
        <f t="shared" si="11"/>
        <v>206</v>
      </c>
      <c r="D216">
        <f t="shared" si="13"/>
        <v>0.34393203883495149</v>
      </c>
    </row>
    <row r="217" spans="1:4" x14ac:dyDescent="0.3">
      <c r="A217">
        <v>207</v>
      </c>
      <c r="B217">
        <f t="shared" si="12"/>
        <v>621</v>
      </c>
      <c r="C217">
        <f t="shared" si="11"/>
        <v>207</v>
      </c>
      <c r="D217">
        <f t="shared" si="13"/>
        <v>0.34396135265700484</v>
      </c>
    </row>
    <row r="218" spans="1:4" x14ac:dyDescent="0.3">
      <c r="A218">
        <v>208</v>
      </c>
      <c r="B218">
        <f t="shared" si="12"/>
        <v>624</v>
      </c>
      <c r="C218">
        <f t="shared" si="11"/>
        <v>208</v>
      </c>
      <c r="D218">
        <f t="shared" si="13"/>
        <v>0.34399038461538461</v>
      </c>
    </row>
    <row r="219" spans="1:4" x14ac:dyDescent="0.3">
      <c r="A219">
        <v>209</v>
      </c>
      <c r="B219">
        <f t="shared" si="12"/>
        <v>627</v>
      </c>
      <c r="C219">
        <f t="shared" si="11"/>
        <v>209</v>
      </c>
      <c r="D219">
        <f t="shared" si="13"/>
        <v>0.34401913875598089</v>
      </c>
    </row>
    <row r="220" spans="1:4" x14ac:dyDescent="0.3">
      <c r="A220">
        <v>210</v>
      </c>
      <c r="B220">
        <f t="shared" si="12"/>
        <v>630</v>
      </c>
      <c r="C220">
        <f t="shared" si="11"/>
        <v>210</v>
      </c>
      <c r="D220">
        <f t="shared" si="13"/>
        <v>0.34404761904761905</v>
      </c>
    </row>
    <row r="221" spans="1:4" x14ac:dyDescent="0.3">
      <c r="A221">
        <v>211</v>
      </c>
      <c r="B221">
        <f t="shared" si="12"/>
        <v>633</v>
      </c>
      <c r="C221">
        <f t="shared" si="11"/>
        <v>211</v>
      </c>
      <c r="D221">
        <f t="shared" si="13"/>
        <v>0.34407582938388626</v>
      </c>
    </row>
    <row r="222" spans="1:4" x14ac:dyDescent="0.3">
      <c r="A222">
        <v>212</v>
      </c>
      <c r="B222">
        <f t="shared" si="12"/>
        <v>636</v>
      </c>
      <c r="C222">
        <f t="shared" si="11"/>
        <v>212</v>
      </c>
      <c r="D222">
        <f t="shared" si="13"/>
        <v>0.34410377358490563</v>
      </c>
    </row>
    <row r="223" spans="1:4" x14ac:dyDescent="0.3">
      <c r="A223">
        <v>213</v>
      </c>
      <c r="B223">
        <f t="shared" si="12"/>
        <v>639</v>
      </c>
      <c r="C223">
        <f t="shared" si="11"/>
        <v>213</v>
      </c>
      <c r="D223">
        <f t="shared" si="13"/>
        <v>0.34413145539906104</v>
      </c>
    </row>
    <row r="224" spans="1:4" x14ac:dyDescent="0.3">
      <c r="A224">
        <v>214</v>
      </c>
      <c r="B224">
        <f t="shared" si="12"/>
        <v>642</v>
      </c>
      <c r="C224">
        <f t="shared" si="11"/>
        <v>214</v>
      </c>
      <c r="D224">
        <f t="shared" si="13"/>
        <v>0.34415887850467292</v>
      </c>
    </row>
    <row r="225" spans="1:4" x14ac:dyDescent="0.3">
      <c r="A225">
        <v>215</v>
      </c>
      <c r="B225">
        <f t="shared" si="12"/>
        <v>645</v>
      </c>
      <c r="C225">
        <f t="shared" si="11"/>
        <v>215</v>
      </c>
      <c r="D225">
        <f t="shared" si="13"/>
        <v>0.34418604651162787</v>
      </c>
    </row>
    <row r="226" spans="1:4" x14ac:dyDescent="0.3">
      <c r="A226">
        <v>216</v>
      </c>
      <c r="B226">
        <f t="shared" si="12"/>
        <v>648</v>
      </c>
      <c r="C226">
        <f t="shared" si="11"/>
        <v>216</v>
      </c>
      <c r="D226">
        <f t="shared" si="13"/>
        <v>0.344212962962963</v>
      </c>
    </row>
    <row r="227" spans="1:4" x14ac:dyDescent="0.3">
      <c r="A227">
        <v>217</v>
      </c>
      <c r="B227">
        <f t="shared" si="12"/>
        <v>651</v>
      </c>
      <c r="C227">
        <f t="shared" si="11"/>
        <v>217</v>
      </c>
      <c r="D227">
        <f t="shared" si="13"/>
        <v>0.34423963133640556</v>
      </c>
    </row>
    <row r="228" spans="1:4" x14ac:dyDescent="0.3">
      <c r="A228">
        <v>218</v>
      </c>
      <c r="B228">
        <f t="shared" si="12"/>
        <v>654</v>
      </c>
      <c r="C228">
        <f t="shared" si="11"/>
        <v>218</v>
      </c>
      <c r="D228">
        <f t="shared" si="13"/>
        <v>0.3442660550458716</v>
      </c>
    </row>
    <row r="229" spans="1:4" x14ac:dyDescent="0.3">
      <c r="A229">
        <v>219</v>
      </c>
      <c r="B229">
        <f t="shared" si="12"/>
        <v>657</v>
      </c>
      <c r="C229">
        <f t="shared" si="11"/>
        <v>219</v>
      </c>
      <c r="D229">
        <f t="shared" si="13"/>
        <v>0.34429223744292237</v>
      </c>
    </row>
    <row r="230" spans="1:4" x14ac:dyDescent="0.3">
      <c r="A230">
        <v>220</v>
      </c>
      <c r="B230">
        <f t="shared" si="12"/>
        <v>660</v>
      </c>
      <c r="C230">
        <f t="shared" si="11"/>
        <v>220</v>
      </c>
      <c r="D230">
        <f t="shared" si="13"/>
        <v>0.34431818181818186</v>
      </c>
    </row>
    <row r="231" spans="1:4" x14ac:dyDescent="0.3">
      <c r="A231">
        <v>221</v>
      </c>
      <c r="B231">
        <f t="shared" si="12"/>
        <v>663</v>
      </c>
      <c r="C231">
        <f t="shared" si="11"/>
        <v>221</v>
      </c>
      <c r="D231">
        <f t="shared" si="13"/>
        <v>0.34434389140271493</v>
      </c>
    </row>
    <row r="232" spans="1:4" x14ac:dyDescent="0.3">
      <c r="A232">
        <v>222</v>
      </c>
      <c r="B232">
        <f t="shared" si="12"/>
        <v>666</v>
      </c>
      <c r="C232">
        <f t="shared" si="11"/>
        <v>222</v>
      </c>
      <c r="D232">
        <f t="shared" si="13"/>
        <v>0.34436936936936935</v>
      </c>
    </row>
    <row r="233" spans="1:4" x14ac:dyDescent="0.3">
      <c r="A233">
        <v>223</v>
      </c>
      <c r="B233">
        <f t="shared" si="12"/>
        <v>669</v>
      </c>
      <c r="C233">
        <f t="shared" si="11"/>
        <v>223</v>
      </c>
      <c r="D233">
        <f t="shared" si="13"/>
        <v>0.34439461883408073</v>
      </c>
    </row>
    <row r="234" spans="1:4" x14ac:dyDescent="0.3">
      <c r="A234">
        <v>224</v>
      </c>
      <c r="B234">
        <f t="shared" si="12"/>
        <v>672</v>
      </c>
      <c r="C234">
        <f t="shared" si="11"/>
        <v>224</v>
      </c>
      <c r="D234">
        <f t="shared" si="13"/>
        <v>0.34441964285714288</v>
      </c>
    </row>
    <row r="235" spans="1:4" x14ac:dyDescent="0.3">
      <c r="A235">
        <v>225</v>
      </c>
      <c r="B235">
        <f t="shared" si="12"/>
        <v>675</v>
      </c>
      <c r="C235">
        <f t="shared" si="11"/>
        <v>225</v>
      </c>
      <c r="D235">
        <f t="shared" si="13"/>
        <v>0.34444444444444444</v>
      </c>
    </row>
    <row r="236" spans="1:4" x14ac:dyDescent="0.3">
      <c r="A236">
        <v>226</v>
      </c>
      <c r="B236">
        <f t="shared" si="12"/>
        <v>678</v>
      </c>
      <c r="C236">
        <f t="shared" si="11"/>
        <v>226</v>
      </c>
      <c r="D236">
        <f t="shared" si="13"/>
        <v>0.34446902654867256</v>
      </c>
    </row>
    <row r="237" spans="1:4" x14ac:dyDescent="0.3">
      <c r="A237">
        <v>227</v>
      </c>
      <c r="B237">
        <f t="shared" si="12"/>
        <v>681</v>
      </c>
      <c r="C237">
        <f t="shared" si="11"/>
        <v>227</v>
      </c>
      <c r="D237">
        <f t="shared" si="13"/>
        <v>0.34449339207048457</v>
      </c>
    </row>
    <row r="238" spans="1:4" x14ac:dyDescent="0.3">
      <c r="A238">
        <v>228</v>
      </c>
      <c r="B238">
        <f t="shared" si="12"/>
        <v>684</v>
      </c>
      <c r="C238">
        <f t="shared" si="11"/>
        <v>228</v>
      </c>
      <c r="D238">
        <f t="shared" si="13"/>
        <v>0.34451754385964917</v>
      </c>
    </row>
    <row r="239" spans="1:4" x14ac:dyDescent="0.3">
      <c r="A239">
        <v>229</v>
      </c>
      <c r="B239">
        <f t="shared" si="12"/>
        <v>687</v>
      </c>
      <c r="C239">
        <f t="shared" si="11"/>
        <v>229</v>
      </c>
      <c r="D239">
        <f t="shared" si="13"/>
        <v>0.3445414847161572</v>
      </c>
    </row>
    <row r="240" spans="1:4" x14ac:dyDescent="0.3">
      <c r="A240">
        <v>230</v>
      </c>
      <c r="B240">
        <f t="shared" si="12"/>
        <v>690</v>
      </c>
      <c r="C240">
        <f t="shared" si="11"/>
        <v>230</v>
      </c>
      <c r="D240">
        <f t="shared" si="13"/>
        <v>0.34456521739130436</v>
      </c>
    </row>
    <row r="241" spans="1:4" x14ac:dyDescent="0.3">
      <c r="A241">
        <v>231</v>
      </c>
      <c r="B241">
        <f t="shared" si="12"/>
        <v>693</v>
      </c>
      <c r="C241">
        <f t="shared" si="11"/>
        <v>231</v>
      </c>
      <c r="D241">
        <f t="shared" si="13"/>
        <v>0.34458874458874456</v>
      </c>
    </row>
    <row r="242" spans="1:4" x14ac:dyDescent="0.3">
      <c r="A242">
        <v>232</v>
      </c>
      <c r="B242">
        <f t="shared" si="12"/>
        <v>696</v>
      </c>
      <c r="C242">
        <f t="shared" si="11"/>
        <v>232</v>
      </c>
      <c r="D242">
        <f t="shared" si="13"/>
        <v>0.34461206896551722</v>
      </c>
    </row>
    <row r="243" spans="1:4" x14ac:dyDescent="0.3">
      <c r="A243">
        <v>233</v>
      </c>
      <c r="B243">
        <f t="shared" si="12"/>
        <v>699</v>
      </c>
      <c r="C243">
        <f t="shared" si="11"/>
        <v>233</v>
      </c>
      <c r="D243">
        <f t="shared" si="13"/>
        <v>0.34463519313304725</v>
      </c>
    </row>
    <row r="244" spans="1:4" x14ac:dyDescent="0.3">
      <c r="A244">
        <v>234</v>
      </c>
      <c r="B244">
        <f t="shared" si="12"/>
        <v>702</v>
      </c>
      <c r="C244">
        <f t="shared" si="11"/>
        <v>234</v>
      </c>
      <c r="D244">
        <f t="shared" si="13"/>
        <v>0.34465811965811965</v>
      </c>
    </row>
    <row r="245" spans="1:4" x14ac:dyDescent="0.3">
      <c r="A245">
        <v>235</v>
      </c>
      <c r="B245">
        <f t="shared" si="12"/>
        <v>705</v>
      </c>
      <c r="C245">
        <f t="shared" si="11"/>
        <v>235</v>
      </c>
      <c r="D245">
        <f t="shared" si="13"/>
        <v>0.34468085106382979</v>
      </c>
    </row>
    <row r="246" spans="1:4" x14ac:dyDescent="0.3">
      <c r="A246">
        <v>236</v>
      </c>
      <c r="B246">
        <f t="shared" si="12"/>
        <v>708</v>
      </c>
      <c r="C246">
        <f t="shared" si="11"/>
        <v>236</v>
      </c>
      <c r="D246">
        <f t="shared" si="13"/>
        <v>0.34470338983050847</v>
      </c>
    </row>
    <row r="247" spans="1:4" x14ac:dyDescent="0.3">
      <c r="A247">
        <v>237</v>
      </c>
      <c r="B247">
        <f t="shared" si="12"/>
        <v>711</v>
      </c>
      <c r="C247">
        <f t="shared" si="11"/>
        <v>237</v>
      </c>
      <c r="D247">
        <f t="shared" si="13"/>
        <v>0.34472573839662446</v>
      </c>
    </row>
    <row r="248" spans="1:4" x14ac:dyDescent="0.3">
      <c r="A248">
        <v>238</v>
      </c>
      <c r="B248">
        <f t="shared" si="12"/>
        <v>714</v>
      </c>
      <c r="C248">
        <f t="shared" si="11"/>
        <v>238</v>
      </c>
      <c r="D248">
        <f t="shared" si="13"/>
        <v>0.34474789915966386</v>
      </c>
    </row>
    <row r="249" spans="1:4" x14ac:dyDescent="0.3">
      <c r="A249">
        <v>239</v>
      </c>
      <c r="B249">
        <f t="shared" si="12"/>
        <v>717</v>
      </c>
      <c r="C249">
        <f t="shared" si="11"/>
        <v>239</v>
      </c>
      <c r="D249">
        <f t="shared" si="13"/>
        <v>0.34476987447698748</v>
      </c>
    </row>
    <row r="250" spans="1:4" x14ac:dyDescent="0.3">
      <c r="A250">
        <v>240</v>
      </c>
      <c r="B250">
        <f t="shared" si="12"/>
        <v>720</v>
      </c>
      <c r="C250">
        <f t="shared" si="11"/>
        <v>240</v>
      </c>
      <c r="D250">
        <f t="shared" si="13"/>
        <v>0.34479166666666666</v>
      </c>
    </row>
    <row r="251" spans="1:4" x14ac:dyDescent="0.3">
      <c r="A251">
        <v>241</v>
      </c>
      <c r="B251">
        <f t="shared" si="12"/>
        <v>723</v>
      </c>
      <c r="C251">
        <f t="shared" si="11"/>
        <v>241</v>
      </c>
      <c r="D251">
        <f t="shared" si="13"/>
        <v>0.34481327800829875</v>
      </c>
    </row>
    <row r="252" spans="1:4" x14ac:dyDescent="0.3">
      <c r="A252">
        <v>242</v>
      </c>
      <c r="B252">
        <f t="shared" si="12"/>
        <v>726</v>
      </c>
      <c r="C252">
        <f t="shared" si="11"/>
        <v>242</v>
      </c>
      <c r="D252">
        <f t="shared" si="13"/>
        <v>0.34483471074380168</v>
      </c>
    </row>
    <row r="253" spans="1:4" x14ac:dyDescent="0.3">
      <c r="A253">
        <v>243</v>
      </c>
      <c r="B253">
        <f t="shared" si="12"/>
        <v>729</v>
      </c>
      <c r="C253">
        <f t="shared" si="11"/>
        <v>243</v>
      </c>
      <c r="D253">
        <f t="shared" si="13"/>
        <v>0.34485596707818933</v>
      </c>
    </row>
    <row r="254" spans="1:4" x14ac:dyDescent="0.3">
      <c r="A254">
        <v>244</v>
      </c>
      <c r="B254">
        <f t="shared" si="12"/>
        <v>732</v>
      </c>
      <c r="C254">
        <f t="shared" si="11"/>
        <v>244</v>
      </c>
      <c r="D254">
        <f t="shared" si="13"/>
        <v>0.34487704918032791</v>
      </c>
    </row>
    <row r="255" spans="1:4" x14ac:dyDescent="0.3">
      <c r="A255">
        <v>245</v>
      </c>
      <c r="B255">
        <f t="shared" si="12"/>
        <v>735</v>
      </c>
      <c r="C255">
        <f t="shared" si="11"/>
        <v>245</v>
      </c>
      <c r="D255">
        <f t="shared" si="13"/>
        <v>0.3448979591836735</v>
      </c>
    </row>
    <row r="256" spans="1:4" x14ac:dyDescent="0.3">
      <c r="A256">
        <v>246</v>
      </c>
      <c r="B256">
        <f t="shared" si="12"/>
        <v>738</v>
      </c>
      <c r="C256">
        <f t="shared" si="11"/>
        <v>246</v>
      </c>
      <c r="D256">
        <f t="shared" si="13"/>
        <v>0.34491869918699186</v>
      </c>
    </row>
    <row r="257" spans="1:4" x14ac:dyDescent="0.3">
      <c r="A257">
        <v>247</v>
      </c>
      <c r="B257">
        <f t="shared" si="12"/>
        <v>741</v>
      </c>
      <c r="C257">
        <f t="shared" si="11"/>
        <v>247</v>
      </c>
      <c r="D257">
        <f t="shared" si="13"/>
        <v>0.34493927125506074</v>
      </c>
    </row>
    <row r="258" spans="1:4" x14ac:dyDescent="0.3">
      <c r="A258">
        <v>248</v>
      </c>
      <c r="B258">
        <f t="shared" si="12"/>
        <v>744</v>
      </c>
      <c r="C258">
        <f t="shared" si="11"/>
        <v>248</v>
      </c>
      <c r="D258">
        <f t="shared" si="13"/>
        <v>0.34495967741935485</v>
      </c>
    </row>
    <row r="259" spans="1:4" x14ac:dyDescent="0.3">
      <c r="A259">
        <v>249</v>
      </c>
      <c r="B259">
        <f t="shared" si="12"/>
        <v>747</v>
      </c>
      <c r="C259">
        <f t="shared" si="11"/>
        <v>249</v>
      </c>
      <c r="D259">
        <f t="shared" si="13"/>
        <v>0.34497991967871489</v>
      </c>
    </row>
    <row r="260" spans="1:4" x14ac:dyDescent="0.3">
      <c r="A260">
        <v>250</v>
      </c>
      <c r="B260">
        <f t="shared" si="12"/>
        <v>750</v>
      </c>
      <c r="C260">
        <f t="shared" si="11"/>
        <v>250</v>
      </c>
      <c r="D260">
        <f t="shared" si="13"/>
        <v>0.34499999999999997</v>
      </c>
    </row>
    <row r="261" spans="1:4" x14ac:dyDescent="0.3">
      <c r="A261">
        <v>251</v>
      </c>
      <c r="B261">
        <f t="shared" si="12"/>
        <v>753</v>
      </c>
      <c r="C261">
        <f t="shared" si="11"/>
        <v>251</v>
      </c>
      <c r="D261">
        <f t="shared" si="13"/>
        <v>0.34501992031872508</v>
      </c>
    </row>
    <row r="262" spans="1:4" x14ac:dyDescent="0.3">
      <c r="A262">
        <v>252</v>
      </c>
      <c r="B262">
        <f t="shared" si="12"/>
        <v>756</v>
      </c>
      <c r="C262">
        <f t="shared" si="11"/>
        <v>252</v>
      </c>
      <c r="D262">
        <f t="shared" si="13"/>
        <v>0.34503968253968254</v>
      </c>
    </row>
    <row r="263" spans="1:4" x14ac:dyDescent="0.3">
      <c r="A263">
        <v>253</v>
      </c>
      <c r="B263">
        <f t="shared" si="12"/>
        <v>759</v>
      </c>
      <c r="C263">
        <f t="shared" si="11"/>
        <v>253</v>
      </c>
      <c r="D263">
        <f t="shared" si="13"/>
        <v>0.34505928853754941</v>
      </c>
    </row>
    <row r="264" spans="1:4" x14ac:dyDescent="0.3">
      <c r="A264">
        <v>254</v>
      </c>
      <c r="B264">
        <f t="shared" si="12"/>
        <v>762</v>
      </c>
      <c r="C264">
        <f t="shared" si="11"/>
        <v>254</v>
      </c>
      <c r="D264">
        <f t="shared" si="13"/>
        <v>0.3450787401574803</v>
      </c>
    </row>
    <row r="265" spans="1:4" x14ac:dyDescent="0.3">
      <c r="A265">
        <v>255</v>
      </c>
      <c r="B265">
        <f t="shared" si="12"/>
        <v>765</v>
      </c>
      <c r="C265">
        <f t="shared" si="11"/>
        <v>255</v>
      </c>
      <c r="D265">
        <f t="shared" si="13"/>
        <v>0.34509803921568627</v>
      </c>
    </row>
    <row r="266" spans="1:4" x14ac:dyDescent="0.3">
      <c r="A266">
        <v>256</v>
      </c>
      <c r="B266">
        <f t="shared" si="12"/>
        <v>768</v>
      </c>
      <c r="C266">
        <f t="shared" si="11"/>
        <v>256</v>
      </c>
      <c r="D266">
        <f t="shared" si="13"/>
        <v>0.34511718749999998</v>
      </c>
    </row>
    <row r="267" spans="1:4" x14ac:dyDescent="0.3">
      <c r="A267">
        <v>257</v>
      </c>
      <c r="B267">
        <f t="shared" si="12"/>
        <v>771</v>
      </c>
      <c r="C267">
        <f t="shared" si="11"/>
        <v>257</v>
      </c>
      <c r="D267">
        <f t="shared" si="13"/>
        <v>0.34513618677042801</v>
      </c>
    </row>
    <row r="268" spans="1:4" x14ac:dyDescent="0.3">
      <c r="A268">
        <v>258</v>
      </c>
      <c r="B268">
        <f t="shared" si="12"/>
        <v>774</v>
      </c>
      <c r="C268">
        <f t="shared" si="11"/>
        <v>258</v>
      </c>
      <c r="D268">
        <f t="shared" si="13"/>
        <v>0.34515503875968989</v>
      </c>
    </row>
    <row r="269" spans="1:4" x14ac:dyDescent="0.3">
      <c r="A269">
        <v>259</v>
      </c>
      <c r="B269">
        <f t="shared" si="12"/>
        <v>777</v>
      </c>
      <c r="C269">
        <f t="shared" si="11"/>
        <v>259</v>
      </c>
      <c r="D269">
        <f t="shared" si="13"/>
        <v>0.34517374517374522</v>
      </c>
    </row>
    <row r="270" spans="1:4" x14ac:dyDescent="0.3">
      <c r="A270">
        <v>260</v>
      </c>
      <c r="B270">
        <f t="shared" si="12"/>
        <v>780</v>
      </c>
      <c r="C270">
        <f t="shared" ref="C270:C285" si="14">+C269+1</f>
        <v>260</v>
      </c>
      <c r="D270">
        <f t="shared" si="13"/>
        <v>0.34519230769230769</v>
      </c>
    </row>
    <row r="271" spans="1:4" x14ac:dyDescent="0.3">
      <c r="A271">
        <v>261</v>
      </c>
      <c r="B271">
        <f t="shared" si="12"/>
        <v>783</v>
      </c>
      <c r="C271">
        <f t="shared" si="14"/>
        <v>261</v>
      </c>
      <c r="D271">
        <f t="shared" si="13"/>
        <v>0.34521072796934865</v>
      </c>
    </row>
    <row r="272" spans="1:4" x14ac:dyDescent="0.3">
      <c r="A272">
        <v>262</v>
      </c>
      <c r="B272">
        <f t="shared" si="12"/>
        <v>786</v>
      </c>
      <c r="C272">
        <f t="shared" si="14"/>
        <v>262</v>
      </c>
      <c r="D272">
        <f t="shared" si="13"/>
        <v>0.34522900763358777</v>
      </c>
    </row>
    <row r="273" spans="1:4" x14ac:dyDescent="0.3">
      <c r="A273">
        <v>263</v>
      </c>
      <c r="B273">
        <f t="shared" si="12"/>
        <v>789</v>
      </c>
      <c r="C273">
        <f t="shared" si="14"/>
        <v>263</v>
      </c>
      <c r="D273">
        <f t="shared" si="13"/>
        <v>0.3452471482889734</v>
      </c>
    </row>
    <row r="274" spans="1:4" x14ac:dyDescent="0.3">
      <c r="A274">
        <v>264</v>
      </c>
      <c r="B274">
        <f t="shared" si="12"/>
        <v>792</v>
      </c>
      <c r="C274">
        <f t="shared" si="14"/>
        <v>264</v>
      </c>
      <c r="D274">
        <f t="shared" si="13"/>
        <v>0.34526515151515152</v>
      </c>
    </row>
    <row r="275" spans="1:4" x14ac:dyDescent="0.3">
      <c r="A275">
        <v>265</v>
      </c>
      <c r="B275">
        <f t="shared" si="12"/>
        <v>795</v>
      </c>
      <c r="C275">
        <f t="shared" si="14"/>
        <v>265</v>
      </c>
      <c r="D275">
        <f t="shared" si="13"/>
        <v>0.34528301886792456</v>
      </c>
    </row>
    <row r="276" spans="1:4" x14ac:dyDescent="0.3">
      <c r="A276">
        <v>266</v>
      </c>
      <c r="B276">
        <f t="shared" ref="B276:B285" si="15">3*A276</f>
        <v>798</v>
      </c>
      <c r="C276">
        <f t="shared" si="14"/>
        <v>266</v>
      </c>
      <c r="D276">
        <f t="shared" ref="D276:D285" si="16">IF(B276&gt;$B$8,$J$4+$J$5*(B276-$B$8)/B276,0)</f>
        <v>0.34530075187969922</v>
      </c>
    </row>
    <row r="277" spans="1:4" x14ac:dyDescent="0.3">
      <c r="A277">
        <v>267</v>
      </c>
      <c r="B277">
        <f t="shared" si="15"/>
        <v>801</v>
      </c>
      <c r="C277">
        <f t="shared" si="14"/>
        <v>267</v>
      </c>
      <c r="D277">
        <f t="shared" si="16"/>
        <v>0.34531835205992512</v>
      </c>
    </row>
    <row r="278" spans="1:4" x14ac:dyDescent="0.3">
      <c r="A278">
        <v>268</v>
      </c>
      <c r="B278">
        <f t="shared" si="15"/>
        <v>804</v>
      </c>
      <c r="C278">
        <f t="shared" si="14"/>
        <v>268</v>
      </c>
      <c r="D278">
        <f t="shared" si="16"/>
        <v>0.34533582089552239</v>
      </c>
    </row>
    <row r="279" spans="1:4" x14ac:dyDescent="0.3">
      <c r="A279">
        <v>269</v>
      </c>
      <c r="B279">
        <f t="shared" si="15"/>
        <v>807</v>
      </c>
      <c r="C279">
        <f t="shared" si="14"/>
        <v>269</v>
      </c>
      <c r="D279">
        <f t="shared" si="16"/>
        <v>0.34535315985130111</v>
      </c>
    </row>
    <row r="280" spans="1:4" x14ac:dyDescent="0.3">
      <c r="A280">
        <v>270</v>
      </c>
      <c r="B280">
        <f t="shared" si="15"/>
        <v>810</v>
      </c>
      <c r="C280">
        <f t="shared" si="14"/>
        <v>270</v>
      </c>
      <c r="D280">
        <f t="shared" si="16"/>
        <v>0.34537037037037038</v>
      </c>
    </row>
    <row r="281" spans="1:4" x14ac:dyDescent="0.3">
      <c r="A281">
        <v>271</v>
      </c>
      <c r="B281">
        <f t="shared" si="15"/>
        <v>813</v>
      </c>
      <c r="C281">
        <f t="shared" si="14"/>
        <v>271</v>
      </c>
      <c r="D281">
        <f t="shared" si="16"/>
        <v>0.34538745387453873</v>
      </c>
    </row>
    <row r="282" spans="1:4" x14ac:dyDescent="0.3">
      <c r="A282">
        <v>272</v>
      </c>
      <c r="B282">
        <f t="shared" si="15"/>
        <v>816</v>
      </c>
      <c r="C282">
        <f t="shared" si="14"/>
        <v>272</v>
      </c>
      <c r="D282">
        <f t="shared" si="16"/>
        <v>0.34540441176470588</v>
      </c>
    </row>
    <row r="283" spans="1:4" x14ac:dyDescent="0.3">
      <c r="A283">
        <v>273</v>
      </c>
      <c r="B283">
        <f t="shared" si="15"/>
        <v>819</v>
      </c>
      <c r="C283">
        <f t="shared" si="14"/>
        <v>273</v>
      </c>
      <c r="D283">
        <f t="shared" si="16"/>
        <v>0.34542124542124542</v>
      </c>
    </row>
    <row r="284" spans="1:4" x14ac:dyDescent="0.3">
      <c r="A284">
        <v>274</v>
      </c>
      <c r="B284">
        <f t="shared" si="15"/>
        <v>822</v>
      </c>
      <c r="C284">
        <f t="shared" si="14"/>
        <v>274</v>
      </c>
      <c r="D284">
        <f t="shared" si="16"/>
        <v>0.34543795620437956</v>
      </c>
    </row>
    <row r="285" spans="1:4" x14ac:dyDescent="0.3">
      <c r="A285">
        <v>275</v>
      </c>
      <c r="B285">
        <f t="shared" si="15"/>
        <v>825</v>
      </c>
      <c r="C285">
        <f t="shared" si="14"/>
        <v>275</v>
      </c>
      <c r="D285">
        <f t="shared" si="16"/>
        <v>0.34545454545454546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 sizeWithCells="1">
              <from>
                <xdr:col>3</xdr:col>
                <xdr:colOff>60960</xdr:colOff>
                <xdr:row>1</xdr:row>
                <xdr:rowOff>99060</xdr:rowOff>
              </from>
              <to>
                <xdr:col>8</xdr:col>
                <xdr:colOff>60960</xdr:colOff>
                <xdr:row>4</xdr:row>
                <xdr:rowOff>190500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1085"/>
  <sheetViews>
    <sheetView showGridLines="0" topLeftCell="A1060" zoomScale="110" zoomScaleNormal="110" workbookViewId="0">
      <selection activeCell="G1069" sqref="G1069"/>
    </sheetView>
  </sheetViews>
  <sheetFormatPr defaultRowHeight="14.4" x14ac:dyDescent="0.3"/>
  <cols>
    <col min="2" max="2" width="10.6640625" customWidth="1"/>
    <col min="3" max="3" width="4.5546875" customWidth="1"/>
    <col min="4" max="4" width="8.109375" customWidth="1"/>
    <col min="5" max="5" width="14.5546875" customWidth="1"/>
    <col min="6" max="6" width="11.6640625" customWidth="1"/>
    <col min="7" max="7" width="6.6640625" customWidth="1"/>
    <col min="8" max="8" width="13.5546875" bestFit="1" customWidth="1"/>
    <col min="10" max="10" width="6.6640625" customWidth="1"/>
    <col min="11" max="11" width="12.88671875" customWidth="1"/>
    <col min="12" max="12" width="13" customWidth="1"/>
  </cols>
  <sheetData>
    <row r="4" spans="3:18" ht="15" customHeight="1" x14ac:dyDescent="0.3">
      <c r="E4" s="73"/>
      <c r="F4" s="73"/>
    </row>
    <row r="5" spans="3:18" ht="15" customHeight="1" x14ac:dyDescent="0.3">
      <c r="C5" s="433" t="s">
        <v>221</v>
      </c>
      <c r="D5" t="s">
        <v>26</v>
      </c>
      <c r="E5" s="5"/>
      <c r="F5" s="123"/>
      <c r="G5" s="5" t="s">
        <v>149</v>
      </c>
    </row>
    <row r="6" spans="3:18" ht="15" customHeight="1" x14ac:dyDescent="0.3">
      <c r="C6" s="433"/>
      <c r="E6" s="6"/>
      <c r="F6" s="5">
        <v>0.3</v>
      </c>
    </row>
    <row r="7" spans="3:18" ht="15" customHeight="1" x14ac:dyDescent="0.3">
      <c r="C7" s="433"/>
      <c r="D7">
        <v>4</v>
      </c>
      <c r="E7" s="6"/>
      <c r="F7" s="6">
        <v>0.2</v>
      </c>
      <c r="I7" s="120" t="s">
        <v>181</v>
      </c>
      <c r="J7" s="120">
        <v>10</v>
      </c>
      <c r="K7" s="120"/>
      <c r="L7" s="120">
        <v>20</v>
      </c>
      <c r="M7" s="120"/>
      <c r="N7" s="120"/>
      <c r="O7" s="120"/>
      <c r="P7" s="120"/>
      <c r="Q7" s="120"/>
      <c r="R7" s="120"/>
    </row>
    <row r="8" spans="3:18" ht="15" customHeight="1" x14ac:dyDescent="0.3">
      <c r="C8" s="433"/>
      <c r="D8">
        <v>3</v>
      </c>
      <c r="E8" s="6"/>
      <c r="F8" s="6">
        <v>0.1</v>
      </c>
      <c r="I8" s="120" t="s">
        <v>182</v>
      </c>
      <c r="J8" s="120">
        <v>6</v>
      </c>
      <c r="K8" s="120"/>
      <c r="L8" s="120">
        <f>J8*L7/J7</f>
        <v>12</v>
      </c>
      <c r="M8" s="120">
        <f>L8/3</f>
        <v>4</v>
      </c>
      <c r="N8" s="120"/>
      <c r="O8" s="120">
        <v>6</v>
      </c>
      <c r="P8" s="120"/>
      <c r="Q8" s="120">
        <f>O8-M8</f>
        <v>2</v>
      </c>
      <c r="R8" s="120"/>
    </row>
    <row r="9" spans="3:18" ht="15" customHeight="1" x14ac:dyDescent="0.3">
      <c r="C9" s="433"/>
      <c r="D9">
        <v>2</v>
      </c>
      <c r="E9" s="434" t="s">
        <v>220</v>
      </c>
      <c r="F9" s="434"/>
      <c r="I9" s="120"/>
      <c r="J9" s="120"/>
      <c r="K9" s="120"/>
      <c r="L9" s="120"/>
      <c r="M9" s="120"/>
      <c r="N9" s="120"/>
      <c r="O9" s="120"/>
      <c r="P9" s="120"/>
      <c r="Q9" s="120"/>
      <c r="R9" s="120"/>
    </row>
    <row r="10" spans="3:18" ht="15" customHeight="1" x14ac:dyDescent="0.3">
      <c r="C10" s="433"/>
      <c r="D10">
        <v>1</v>
      </c>
      <c r="E10" s="435"/>
      <c r="F10" s="435"/>
    </row>
    <row r="11" spans="3:18" ht="15" customHeight="1" x14ac:dyDescent="0.3"/>
    <row r="12" spans="3:18" ht="15" customHeight="1" x14ac:dyDescent="0.3">
      <c r="D12" t="s">
        <v>26</v>
      </c>
    </row>
    <row r="13" spans="3:18" ht="15" customHeight="1" x14ac:dyDescent="0.3">
      <c r="D13" s="7">
        <v>10</v>
      </c>
    </row>
    <row r="14" spans="3:18" ht="15" customHeight="1" x14ac:dyDescent="0.3">
      <c r="D14" s="7">
        <v>9</v>
      </c>
      <c r="E14" s="5"/>
      <c r="F14" s="5">
        <v>0.4</v>
      </c>
      <c r="G14" s="5" t="s">
        <v>149</v>
      </c>
      <c r="H14" s="5"/>
      <c r="I14" s="5"/>
      <c r="J14" s="5"/>
      <c r="K14" s="5"/>
      <c r="L14" s="5" t="s">
        <v>149</v>
      </c>
    </row>
    <row r="15" spans="3:18" ht="15" customHeight="1" x14ac:dyDescent="0.3">
      <c r="C15" s="433" t="s">
        <v>222</v>
      </c>
      <c r="D15" s="7">
        <v>8</v>
      </c>
      <c r="E15" s="2"/>
      <c r="F15" s="6">
        <v>0.3</v>
      </c>
      <c r="G15" s="2"/>
      <c r="H15" s="2"/>
      <c r="I15" s="2"/>
      <c r="J15" s="2"/>
      <c r="K15" s="6">
        <v>0.3</v>
      </c>
      <c r="L15" s="2"/>
    </row>
    <row r="16" spans="3:18" ht="15" customHeight="1" x14ac:dyDescent="0.3">
      <c r="C16" s="433"/>
      <c r="D16" s="7">
        <v>7</v>
      </c>
      <c r="E16" s="2"/>
      <c r="F16" s="6">
        <v>0.2</v>
      </c>
      <c r="G16" s="2"/>
      <c r="H16" s="2"/>
      <c r="I16" s="2"/>
      <c r="J16" s="2"/>
      <c r="K16" s="6">
        <v>0.2</v>
      </c>
      <c r="L16" s="2"/>
    </row>
    <row r="17" spans="2:17" ht="15" customHeight="1" x14ac:dyDescent="0.3">
      <c r="C17" s="433"/>
      <c r="D17" s="7">
        <v>6</v>
      </c>
      <c r="E17" s="2"/>
      <c r="F17" s="6">
        <v>0.1</v>
      </c>
      <c r="G17" s="2"/>
      <c r="H17" s="2"/>
      <c r="I17" s="2"/>
      <c r="J17" s="2"/>
      <c r="K17" s="6">
        <v>0.1</v>
      </c>
      <c r="L17" s="2"/>
    </row>
    <row r="18" spans="2:17" ht="15" customHeight="1" x14ac:dyDescent="0.3">
      <c r="C18" s="433"/>
      <c r="D18" s="7">
        <v>5</v>
      </c>
      <c r="E18" s="434" t="s">
        <v>220</v>
      </c>
      <c r="F18" s="434"/>
      <c r="G18" s="436" t="s">
        <v>220</v>
      </c>
      <c r="H18" s="436"/>
      <c r="I18" s="436"/>
      <c r="J18" s="436"/>
      <c r="K18" s="436"/>
      <c r="L18" s="2"/>
    </row>
    <row r="19" spans="2:17" ht="15" customHeight="1" x14ac:dyDescent="0.3">
      <c r="C19" s="433"/>
      <c r="D19" s="7">
        <v>4</v>
      </c>
      <c r="E19" s="435"/>
      <c r="F19" s="435"/>
      <c r="G19" s="437"/>
      <c r="H19" s="437"/>
      <c r="I19" s="437"/>
      <c r="J19" s="437"/>
      <c r="K19" s="437"/>
      <c r="L19" s="2"/>
    </row>
    <row r="20" spans="2:17" ht="15" customHeight="1" x14ac:dyDescent="0.3">
      <c r="C20" s="433"/>
      <c r="D20" s="7">
        <v>3</v>
      </c>
      <c r="E20" s="435"/>
      <c r="F20" s="435"/>
      <c r="G20" s="437"/>
      <c r="H20" s="437"/>
      <c r="I20" s="437"/>
      <c r="J20" s="437"/>
      <c r="K20" s="437"/>
      <c r="L20" s="2"/>
    </row>
    <row r="21" spans="2:17" ht="15" customHeight="1" x14ac:dyDescent="0.3">
      <c r="C21" s="433"/>
      <c r="D21" s="7">
        <v>2</v>
      </c>
      <c r="E21" s="435"/>
      <c r="F21" s="435"/>
      <c r="G21" s="437"/>
      <c r="H21" s="437"/>
      <c r="I21" s="437"/>
      <c r="J21" s="437"/>
      <c r="K21" s="437"/>
      <c r="L21" s="2"/>
    </row>
    <row r="22" spans="2:17" ht="15" customHeight="1" x14ac:dyDescent="0.3">
      <c r="C22" s="433"/>
      <c r="D22" s="7">
        <v>1</v>
      </c>
      <c r="E22" s="435"/>
      <c r="F22" s="435"/>
      <c r="G22" s="437"/>
      <c r="H22" s="437"/>
      <c r="I22" s="437"/>
      <c r="J22" s="437"/>
      <c r="K22" s="437"/>
    </row>
    <row r="23" spans="2:17" ht="15" customHeight="1" x14ac:dyDescent="0.3">
      <c r="F23" s="8">
        <v>10</v>
      </c>
      <c r="L23" t="s">
        <v>13</v>
      </c>
    </row>
    <row r="24" spans="2:17" x14ac:dyDescent="0.3">
      <c r="L24" t="s">
        <v>28</v>
      </c>
    </row>
    <row r="25" spans="2:17" hidden="1" x14ac:dyDescent="0.3"/>
    <row r="26" spans="2:17" hidden="1" x14ac:dyDescent="0.3"/>
    <row r="27" spans="2:17" x14ac:dyDescent="0.3">
      <c r="B27" s="71"/>
      <c r="C27" s="71"/>
      <c r="D27" s="71"/>
      <c r="E27" s="121" t="s">
        <v>225</v>
      </c>
      <c r="F27" s="130">
        <v>5</v>
      </c>
      <c r="G27" s="122" t="s">
        <v>223</v>
      </c>
      <c r="H27" s="122"/>
      <c r="I27" s="122"/>
      <c r="J27" s="122"/>
      <c r="K27" s="121" t="s">
        <v>226</v>
      </c>
      <c r="L27" s="130">
        <v>2</v>
      </c>
      <c r="M27" s="122" t="s">
        <v>224</v>
      </c>
      <c r="N27" s="122"/>
      <c r="O27" s="122"/>
      <c r="P27" s="122"/>
      <c r="Q27" s="122"/>
    </row>
    <row r="28" spans="2:17" x14ac:dyDescent="0.3">
      <c r="B28" s="71"/>
      <c r="C28" s="71"/>
      <c r="D28" s="71"/>
      <c r="E28" s="58" t="s">
        <v>148</v>
      </c>
      <c r="K28" t="s">
        <v>27</v>
      </c>
    </row>
    <row r="29" spans="2:17" ht="24.75" customHeight="1" x14ac:dyDescent="0.3">
      <c r="B29" s="71"/>
      <c r="C29" s="71"/>
      <c r="D29" s="71"/>
      <c r="E29" s="58" t="s">
        <v>234</v>
      </c>
      <c r="F29" s="58" t="s">
        <v>235</v>
      </c>
      <c r="G29" s="58" t="s">
        <v>149</v>
      </c>
      <c r="K29" s="58" t="s">
        <v>234</v>
      </c>
      <c r="L29" s="58" t="s">
        <v>235</v>
      </c>
      <c r="M29" s="58" t="s">
        <v>149</v>
      </c>
    </row>
    <row r="30" spans="2:17" ht="15" customHeight="1" x14ac:dyDescent="0.3">
      <c r="B30" s="71"/>
      <c r="C30" s="71"/>
      <c r="D30" s="71"/>
      <c r="E30" s="58">
        <v>0</v>
      </c>
      <c r="F30" s="58">
        <v>0</v>
      </c>
      <c r="G30" s="58">
        <v>0</v>
      </c>
      <c r="K30" s="58">
        <v>0</v>
      </c>
      <c r="L30" s="58">
        <v>0</v>
      </c>
      <c r="M30" s="58">
        <v>0</v>
      </c>
    </row>
    <row r="31" spans="2:17" x14ac:dyDescent="0.3">
      <c r="B31" s="71"/>
      <c r="C31" s="71"/>
      <c r="D31" s="71"/>
      <c r="E31" s="58">
        <v>1</v>
      </c>
      <c r="F31" s="58">
        <v>5</v>
      </c>
      <c r="G31" s="58">
        <v>0</v>
      </c>
      <c r="K31" s="58">
        <v>1</v>
      </c>
      <c r="L31" s="58">
        <v>2</v>
      </c>
      <c r="M31" s="58">
        <v>0</v>
      </c>
    </row>
    <row r="32" spans="2:17" x14ac:dyDescent="0.3">
      <c r="B32" s="71"/>
      <c r="C32" s="71"/>
      <c r="D32" s="71"/>
      <c r="E32" s="58">
        <v>2</v>
      </c>
      <c r="F32" s="58">
        <f>+F31+$F$27</f>
        <v>10</v>
      </c>
      <c r="G32" s="58">
        <v>0</v>
      </c>
      <c r="K32" s="58">
        <v>2</v>
      </c>
      <c r="L32" s="58">
        <f>+L31+$L$27</f>
        <v>4</v>
      </c>
      <c r="M32" s="58">
        <v>0</v>
      </c>
    </row>
    <row r="33" spans="2:20" x14ac:dyDescent="0.3">
      <c r="B33" s="71"/>
      <c r="C33" s="71"/>
      <c r="D33" s="71"/>
      <c r="E33" s="58">
        <v>3</v>
      </c>
      <c r="F33" s="58">
        <f t="shared" ref="F33:F96" si="0">+F32+$F$27</f>
        <v>15</v>
      </c>
      <c r="G33" s="58">
        <v>0.1</v>
      </c>
      <c r="K33" s="58">
        <v>3</v>
      </c>
      <c r="L33" s="58">
        <f t="shared" ref="L33:L58" si="1">+L32+$L$27</f>
        <v>6</v>
      </c>
      <c r="M33" s="58">
        <v>0</v>
      </c>
    </row>
    <row r="34" spans="2:20" x14ac:dyDescent="0.3">
      <c r="B34" s="71"/>
      <c r="C34" s="71"/>
      <c r="D34" s="71"/>
      <c r="E34" s="58">
        <v>4</v>
      </c>
      <c r="F34" s="58">
        <f t="shared" si="0"/>
        <v>20</v>
      </c>
      <c r="G34" s="58">
        <v>0.2</v>
      </c>
      <c r="K34" s="58">
        <v>4</v>
      </c>
      <c r="L34" s="58">
        <f t="shared" si="1"/>
        <v>8</v>
      </c>
      <c r="M34" s="58">
        <v>0</v>
      </c>
    </row>
    <row r="35" spans="2:20" x14ac:dyDescent="0.3">
      <c r="B35" s="71"/>
      <c r="C35" s="71"/>
      <c r="D35" s="71"/>
      <c r="E35" s="58">
        <v>5</v>
      </c>
      <c r="F35" s="58">
        <f t="shared" si="0"/>
        <v>25</v>
      </c>
      <c r="G35" s="58">
        <v>0.3</v>
      </c>
      <c r="K35" s="58">
        <v>5</v>
      </c>
      <c r="L35" s="58">
        <f t="shared" si="1"/>
        <v>10</v>
      </c>
      <c r="M35" s="58">
        <v>0</v>
      </c>
    </row>
    <row r="36" spans="2:20" x14ac:dyDescent="0.3">
      <c r="B36" s="71"/>
      <c r="C36" s="71"/>
      <c r="D36" s="71"/>
      <c r="E36" s="58">
        <v>6</v>
      </c>
      <c r="F36" s="58">
        <f t="shared" si="0"/>
        <v>30</v>
      </c>
      <c r="G36" s="58">
        <v>0.4</v>
      </c>
      <c r="K36" s="58">
        <v>6</v>
      </c>
      <c r="L36" s="58">
        <f t="shared" si="1"/>
        <v>12</v>
      </c>
      <c r="M36" s="58">
        <v>0.1</v>
      </c>
    </row>
    <row r="37" spans="2:20" x14ac:dyDescent="0.3">
      <c r="B37" s="71"/>
      <c r="C37" s="71"/>
      <c r="D37" s="71"/>
      <c r="E37" s="58">
        <v>7</v>
      </c>
      <c r="F37" s="58">
        <f t="shared" si="0"/>
        <v>35</v>
      </c>
      <c r="G37" s="58">
        <v>0.5</v>
      </c>
      <c r="K37" s="58">
        <v>7</v>
      </c>
      <c r="L37" s="58">
        <f t="shared" si="1"/>
        <v>14</v>
      </c>
      <c r="M37" s="58">
        <v>0.2</v>
      </c>
    </row>
    <row r="38" spans="2:20" x14ac:dyDescent="0.3">
      <c r="B38" s="71"/>
      <c r="C38" s="71"/>
      <c r="D38" s="71"/>
      <c r="E38" s="58">
        <v>8</v>
      </c>
      <c r="F38" s="58">
        <f t="shared" si="0"/>
        <v>40</v>
      </c>
      <c r="G38" s="58">
        <v>0.6</v>
      </c>
      <c r="K38" s="58">
        <v>8</v>
      </c>
      <c r="L38" s="58">
        <f t="shared" si="1"/>
        <v>16</v>
      </c>
      <c r="M38" s="58">
        <v>0.3</v>
      </c>
    </row>
    <row r="39" spans="2:20" x14ac:dyDescent="0.3">
      <c r="B39" s="71"/>
      <c r="C39" s="71"/>
      <c r="D39" s="71"/>
      <c r="E39" s="58">
        <v>9</v>
      </c>
      <c r="F39" s="58">
        <f t="shared" si="0"/>
        <v>45</v>
      </c>
      <c r="G39" s="58">
        <v>0.7</v>
      </c>
      <c r="K39" s="58">
        <v>9</v>
      </c>
      <c r="L39" s="58">
        <f t="shared" si="1"/>
        <v>18</v>
      </c>
      <c r="M39" s="58">
        <v>0.4</v>
      </c>
    </row>
    <row r="40" spans="2:20" x14ac:dyDescent="0.3">
      <c r="B40" s="71"/>
      <c r="C40" s="71"/>
      <c r="D40" s="71"/>
      <c r="E40" s="70">
        <v>10</v>
      </c>
      <c r="F40" s="70">
        <f t="shared" si="0"/>
        <v>50</v>
      </c>
      <c r="G40" s="70">
        <v>0.8</v>
      </c>
      <c r="K40" s="58">
        <v>10</v>
      </c>
      <c r="L40" s="58">
        <f t="shared" si="1"/>
        <v>20</v>
      </c>
      <c r="M40" s="58">
        <v>0.5</v>
      </c>
    </row>
    <row r="41" spans="2:20" x14ac:dyDescent="0.3">
      <c r="B41" s="71"/>
      <c r="C41" s="71"/>
      <c r="D41" s="71"/>
      <c r="E41" s="70">
        <v>11</v>
      </c>
      <c r="F41" s="70">
        <f t="shared" si="0"/>
        <v>55</v>
      </c>
      <c r="G41" s="70">
        <v>0.9</v>
      </c>
      <c r="K41" s="58">
        <v>11</v>
      </c>
      <c r="L41" s="58">
        <f t="shared" si="1"/>
        <v>22</v>
      </c>
      <c r="M41" s="58">
        <v>0.6</v>
      </c>
    </row>
    <row r="42" spans="2:20" x14ac:dyDescent="0.3">
      <c r="B42" s="71"/>
      <c r="C42" s="71"/>
      <c r="D42" s="71"/>
      <c r="E42" s="70">
        <v>12</v>
      </c>
      <c r="F42" s="70">
        <f t="shared" si="0"/>
        <v>60</v>
      </c>
      <c r="G42" s="70">
        <v>1</v>
      </c>
      <c r="K42" s="58">
        <v>12</v>
      </c>
      <c r="L42" s="58">
        <f t="shared" si="1"/>
        <v>24</v>
      </c>
      <c r="M42" s="58">
        <v>0.7</v>
      </c>
      <c r="T42">
        <f>13.5/3</f>
        <v>4.5</v>
      </c>
    </row>
    <row r="43" spans="2:20" x14ac:dyDescent="0.3">
      <c r="B43" s="71"/>
      <c r="C43" s="71"/>
      <c r="D43" s="71"/>
      <c r="E43" s="70">
        <v>13</v>
      </c>
      <c r="F43" s="70">
        <f t="shared" si="0"/>
        <v>65</v>
      </c>
      <c r="G43" s="70">
        <v>1.1000000000000001</v>
      </c>
      <c r="K43" s="58">
        <v>13</v>
      </c>
      <c r="L43" s="58">
        <f t="shared" si="1"/>
        <v>26</v>
      </c>
      <c r="M43" s="58">
        <v>0.8</v>
      </c>
    </row>
    <row r="44" spans="2:20" x14ac:dyDescent="0.3">
      <c r="B44" s="71"/>
      <c r="C44" s="71"/>
      <c r="D44" s="71"/>
      <c r="E44" s="70">
        <v>14</v>
      </c>
      <c r="F44" s="70">
        <f t="shared" si="0"/>
        <v>70</v>
      </c>
      <c r="G44" s="70">
        <v>1.2</v>
      </c>
      <c r="K44" s="58">
        <v>14</v>
      </c>
      <c r="L44" s="58">
        <f t="shared" si="1"/>
        <v>28</v>
      </c>
      <c r="M44" s="58">
        <v>0.9</v>
      </c>
    </row>
    <row r="45" spans="2:20" x14ac:dyDescent="0.3">
      <c r="B45" s="71"/>
      <c r="C45" s="71"/>
      <c r="D45" s="71"/>
      <c r="E45" s="70">
        <v>15</v>
      </c>
      <c r="F45" s="70">
        <f t="shared" si="0"/>
        <v>75</v>
      </c>
      <c r="G45" s="70">
        <v>1.3</v>
      </c>
      <c r="K45" s="58">
        <v>15</v>
      </c>
      <c r="L45" s="58">
        <f t="shared" si="1"/>
        <v>30</v>
      </c>
      <c r="M45" s="58">
        <v>1</v>
      </c>
    </row>
    <row r="46" spans="2:20" x14ac:dyDescent="0.3">
      <c r="B46" s="71"/>
      <c r="C46" s="71"/>
      <c r="D46" s="71"/>
      <c r="E46" s="70">
        <v>16</v>
      </c>
      <c r="F46" s="70">
        <f t="shared" si="0"/>
        <v>80</v>
      </c>
      <c r="G46" s="70">
        <v>1.4</v>
      </c>
      <c r="K46" s="70">
        <v>16</v>
      </c>
      <c r="L46" s="70">
        <f t="shared" si="1"/>
        <v>32</v>
      </c>
      <c r="M46" s="70">
        <v>1.1000000000000001</v>
      </c>
    </row>
    <row r="47" spans="2:20" x14ac:dyDescent="0.3">
      <c r="B47" s="71"/>
      <c r="C47" s="71"/>
      <c r="D47" s="71"/>
      <c r="E47" s="70">
        <v>17</v>
      </c>
      <c r="F47" s="70">
        <f t="shared" si="0"/>
        <v>85</v>
      </c>
      <c r="G47" s="70">
        <v>1.5</v>
      </c>
      <c r="K47" s="70">
        <v>17</v>
      </c>
      <c r="L47" s="70">
        <f t="shared" si="1"/>
        <v>34</v>
      </c>
      <c r="M47" s="70">
        <v>1.2</v>
      </c>
    </row>
    <row r="48" spans="2:20" x14ac:dyDescent="0.3">
      <c r="B48" s="71"/>
      <c r="C48" s="71"/>
      <c r="D48" s="71"/>
      <c r="E48" s="70">
        <v>18</v>
      </c>
      <c r="F48" s="70">
        <f t="shared" si="0"/>
        <v>90</v>
      </c>
      <c r="G48" s="70">
        <v>1.6</v>
      </c>
      <c r="K48" s="70">
        <v>18</v>
      </c>
      <c r="L48" s="70">
        <f t="shared" si="1"/>
        <v>36</v>
      </c>
      <c r="M48" s="70">
        <v>1.3</v>
      </c>
    </row>
    <row r="49" spans="2:13" x14ac:dyDescent="0.3">
      <c r="B49" s="71"/>
      <c r="C49" s="71"/>
      <c r="D49" s="71"/>
      <c r="E49" s="70">
        <v>19</v>
      </c>
      <c r="F49" s="70">
        <f t="shared" si="0"/>
        <v>95</v>
      </c>
      <c r="G49" s="70">
        <v>1.7</v>
      </c>
      <c r="K49" s="70">
        <v>19</v>
      </c>
      <c r="L49" s="70">
        <f t="shared" si="1"/>
        <v>38</v>
      </c>
      <c r="M49" s="70">
        <v>1.4</v>
      </c>
    </row>
    <row r="50" spans="2:13" x14ac:dyDescent="0.3">
      <c r="B50" s="71"/>
      <c r="C50" s="71"/>
      <c r="D50" s="71"/>
      <c r="E50" s="70">
        <v>20</v>
      </c>
      <c r="F50" s="70">
        <f t="shared" si="0"/>
        <v>100</v>
      </c>
      <c r="G50" s="70">
        <v>1.8</v>
      </c>
      <c r="K50" s="70">
        <v>20</v>
      </c>
      <c r="L50" s="70">
        <f t="shared" si="1"/>
        <v>40</v>
      </c>
      <c r="M50" s="70">
        <v>1.5</v>
      </c>
    </row>
    <row r="51" spans="2:13" x14ac:dyDescent="0.3">
      <c r="B51" s="71"/>
      <c r="C51" s="71"/>
      <c r="D51" s="71"/>
      <c r="E51" s="70">
        <v>21</v>
      </c>
      <c r="F51" s="70">
        <f t="shared" si="0"/>
        <v>105</v>
      </c>
      <c r="G51" s="70">
        <v>1.9</v>
      </c>
      <c r="K51" s="70">
        <v>21</v>
      </c>
      <c r="L51" s="70">
        <f t="shared" si="1"/>
        <v>42</v>
      </c>
      <c r="M51" s="70">
        <v>1.6</v>
      </c>
    </row>
    <row r="52" spans="2:13" x14ac:dyDescent="0.3">
      <c r="B52" s="71"/>
      <c r="C52" s="71"/>
      <c r="D52" s="71"/>
      <c r="E52" s="70">
        <v>22</v>
      </c>
      <c r="F52" s="70">
        <f t="shared" si="0"/>
        <v>110</v>
      </c>
      <c r="G52" s="70">
        <v>2</v>
      </c>
      <c r="K52" s="70">
        <v>22</v>
      </c>
      <c r="L52" s="70">
        <f t="shared" si="1"/>
        <v>44</v>
      </c>
      <c r="M52" s="70">
        <v>1.7</v>
      </c>
    </row>
    <row r="53" spans="2:13" x14ac:dyDescent="0.3">
      <c r="B53" s="71"/>
      <c r="C53" s="71"/>
      <c r="D53" s="71"/>
      <c r="E53" s="70">
        <v>23</v>
      </c>
      <c r="F53" s="70">
        <f t="shared" si="0"/>
        <v>115</v>
      </c>
      <c r="G53" s="70">
        <v>2.1</v>
      </c>
      <c r="K53" s="70">
        <v>23</v>
      </c>
      <c r="L53" s="70">
        <f t="shared" si="1"/>
        <v>46</v>
      </c>
      <c r="M53" s="70">
        <v>1.8</v>
      </c>
    </row>
    <row r="54" spans="2:13" x14ac:dyDescent="0.3">
      <c r="B54" s="71"/>
      <c r="C54" s="71"/>
      <c r="D54" s="71"/>
      <c r="E54" s="70">
        <v>24</v>
      </c>
      <c r="F54" s="70">
        <f t="shared" si="0"/>
        <v>120</v>
      </c>
      <c r="G54" s="70">
        <v>2.2000000000000002</v>
      </c>
      <c r="K54" s="70">
        <v>24</v>
      </c>
      <c r="L54" s="70">
        <f t="shared" si="1"/>
        <v>48</v>
      </c>
      <c r="M54" s="70">
        <v>1.9</v>
      </c>
    </row>
    <row r="55" spans="2:13" x14ac:dyDescent="0.3">
      <c r="B55" s="71"/>
      <c r="C55" s="71"/>
      <c r="D55" s="71"/>
      <c r="E55" s="70">
        <v>25</v>
      </c>
      <c r="F55" s="70">
        <f t="shared" si="0"/>
        <v>125</v>
      </c>
      <c r="G55" s="70">
        <v>2.2999999999999998</v>
      </c>
      <c r="K55" s="70">
        <v>25</v>
      </c>
      <c r="L55" s="70">
        <f t="shared" si="1"/>
        <v>50</v>
      </c>
      <c r="M55" s="70">
        <v>2</v>
      </c>
    </row>
    <row r="56" spans="2:13" x14ac:dyDescent="0.3">
      <c r="B56" s="71"/>
      <c r="C56" s="71"/>
      <c r="D56" s="71"/>
      <c r="E56" s="70">
        <v>26</v>
      </c>
      <c r="F56" s="70">
        <f t="shared" si="0"/>
        <v>130</v>
      </c>
      <c r="G56" s="70">
        <v>2.4</v>
      </c>
      <c r="K56" s="70">
        <v>26</v>
      </c>
      <c r="L56" s="70">
        <f t="shared" si="1"/>
        <v>52</v>
      </c>
      <c r="M56" s="70">
        <v>2.1</v>
      </c>
    </row>
    <row r="57" spans="2:13" x14ac:dyDescent="0.3">
      <c r="B57" s="71"/>
      <c r="C57" s="71"/>
      <c r="D57" s="71"/>
      <c r="E57" s="70">
        <v>27</v>
      </c>
      <c r="F57" s="70">
        <f t="shared" si="0"/>
        <v>135</v>
      </c>
      <c r="G57" s="70">
        <v>2.5</v>
      </c>
      <c r="K57" s="70">
        <v>27</v>
      </c>
      <c r="L57" s="70">
        <f t="shared" si="1"/>
        <v>54</v>
      </c>
      <c r="M57" s="70">
        <v>2.2000000000000002</v>
      </c>
    </row>
    <row r="58" spans="2:13" x14ac:dyDescent="0.3">
      <c r="B58" s="71"/>
      <c r="C58" s="71"/>
      <c r="D58" s="71"/>
      <c r="E58" s="70">
        <v>28</v>
      </c>
      <c r="F58" s="70">
        <f t="shared" si="0"/>
        <v>140</v>
      </c>
      <c r="G58" s="70">
        <v>2.6</v>
      </c>
      <c r="K58" s="70">
        <v>28</v>
      </c>
      <c r="L58" s="70">
        <f t="shared" si="1"/>
        <v>56</v>
      </c>
      <c r="M58" s="70">
        <v>2.2999999999999998</v>
      </c>
    </row>
    <row r="59" spans="2:13" x14ac:dyDescent="0.3">
      <c r="B59" s="71"/>
      <c r="C59" s="71"/>
      <c r="D59" s="71"/>
      <c r="E59" s="70">
        <v>29</v>
      </c>
      <c r="F59" s="70">
        <f t="shared" si="0"/>
        <v>145</v>
      </c>
      <c r="G59" s="70">
        <v>2.7</v>
      </c>
      <c r="K59" s="70">
        <v>29</v>
      </c>
      <c r="L59" s="70">
        <f t="shared" ref="L59:L96" si="2">+L58+$L$27</f>
        <v>58</v>
      </c>
      <c r="M59" s="70">
        <v>2.4</v>
      </c>
    </row>
    <row r="60" spans="2:13" x14ac:dyDescent="0.3">
      <c r="B60" s="71"/>
      <c r="C60" s="71"/>
      <c r="D60" s="71"/>
      <c r="E60" s="70">
        <v>30</v>
      </c>
      <c r="F60" s="70">
        <f t="shared" si="0"/>
        <v>150</v>
      </c>
      <c r="G60" s="70">
        <v>2.8</v>
      </c>
      <c r="K60" s="70">
        <v>30</v>
      </c>
      <c r="L60" s="70">
        <f t="shared" si="2"/>
        <v>60</v>
      </c>
      <c r="M60" s="70">
        <v>2.5</v>
      </c>
    </row>
    <row r="61" spans="2:13" x14ac:dyDescent="0.3">
      <c r="E61" s="70">
        <v>31</v>
      </c>
      <c r="F61" s="70">
        <f t="shared" si="0"/>
        <v>155</v>
      </c>
      <c r="G61" s="70">
        <v>2.9</v>
      </c>
      <c r="K61" s="70">
        <v>31</v>
      </c>
      <c r="L61" s="70">
        <f t="shared" si="2"/>
        <v>62</v>
      </c>
      <c r="M61" s="70">
        <v>2.6</v>
      </c>
    </row>
    <row r="62" spans="2:13" x14ac:dyDescent="0.3">
      <c r="E62" s="70">
        <v>32</v>
      </c>
      <c r="F62" s="70">
        <f t="shared" si="0"/>
        <v>160</v>
      </c>
      <c r="G62" s="70">
        <v>3</v>
      </c>
      <c r="K62" s="70">
        <v>32</v>
      </c>
      <c r="L62" s="70">
        <f t="shared" si="2"/>
        <v>64</v>
      </c>
      <c r="M62" s="70">
        <v>2.7</v>
      </c>
    </row>
    <row r="63" spans="2:13" x14ac:dyDescent="0.3">
      <c r="E63" s="70">
        <v>33</v>
      </c>
      <c r="F63" s="70">
        <f t="shared" si="0"/>
        <v>165</v>
      </c>
      <c r="G63" s="70">
        <v>3.1</v>
      </c>
      <c r="K63" s="70">
        <v>33</v>
      </c>
      <c r="L63" s="70">
        <f t="shared" si="2"/>
        <v>66</v>
      </c>
      <c r="M63" s="70">
        <v>2.8</v>
      </c>
    </row>
    <row r="64" spans="2:13" x14ac:dyDescent="0.3">
      <c r="E64" s="70">
        <v>34</v>
      </c>
      <c r="F64" s="70">
        <f t="shared" si="0"/>
        <v>170</v>
      </c>
      <c r="G64" s="70">
        <v>3.2</v>
      </c>
      <c r="K64" s="70">
        <v>34</v>
      </c>
      <c r="L64" s="70">
        <f t="shared" si="2"/>
        <v>68</v>
      </c>
      <c r="M64" s="70">
        <v>2.9</v>
      </c>
    </row>
    <row r="65" spans="5:13" x14ac:dyDescent="0.3">
      <c r="E65" s="70">
        <v>35</v>
      </c>
      <c r="F65" s="70">
        <f t="shared" si="0"/>
        <v>175</v>
      </c>
      <c r="G65" s="70">
        <v>3.3</v>
      </c>
      <c r="K65" s="70">
        <v>35</v>
      </c>
      <c r="L65" s="70">
        <f t="shared" si="2"/>
        <v>70</v>
      </c>
      <c r="M65" s="70">
        <v>3</v>
      </c>
    </row>
    <row r="66" spans="5:13" x14ac:dyDescent="0.3">
      <c r="E66" s="70">
        <v>36</v>
      </c>
      <c r="F66" s="70">
        <f t="shared" si="0"/>
        <v>180</v>
      </c>
      <c r="G66" s="70">
        <v>3.4</v>
      </c>
      <c r="K66" s="70">
        <v>36</v>
      </c>
      <c r="L66" s="70">
        <f t="shared" si="2"/>
        <v>72</v>
      </c>
      <c r="M66" s="70">
        <v>3.1</v>
      </c>
    </row>
    <row r="67" spans="5:13" x14ac:dyDescent="0.3">
      <c r="E67" s="70">
        <v>37</v>
      </c>
      <c r="F67" s="70">
        <f t="shared" si="0"/>
        <v>185</v>
      </c>
      <c r="G67" s="70">
        <v>3.5</v>
      </c>
      <c r="K67" s="70">
        <v>37</v>
      </c>
      <c r="L67" s="70">
        <f t="shared" si="2"/>
        <v>74</v>
      </c>
      <c r="M67" s="70">
        <v>3.2</v>
      </c>
    </row>
    <row r="68" spans="5:13" x14ac:dyDescent="0.3">
      <c r="E68" s="70">
        <v>38</v>
      </c>
      <c r="F68" s="70">
        <f t="shared" si="0"/>
        <v>190</v>
      </c>
      <c r="G68" s="70">
        <v>3.6</v>
      </c>
      <c r="K68" s="70">
        <v>38</v>
      </c>
      <c r="L68" s="70">
        <f t="shared" si="2"/>
        <v>76</v>
      </c>
      <c r="M68" s="70">
        <v>3.3</v>
      </c>
    </row>
    <row r="69" spans="5:13" x14ac:dyDescent="0.3">
      <c r="E69" s="70">
        <v>39</v>
      </c>
      <c r="F69" s="70">
        <f t="shared" si="0"/>
        <v>195</v>
      </c>
      <c r="G69" s="70">
        <v>3.7</v>
      </c>
      <c r="K69" s="70">
        <v>39</v>
      </c>
      <c r="L69" s="70">
        <f t="shared" si="2"/>
        <v>78</v>
      </c>
      <c r="M69" s="70">
        <v>3.4</v>
      </c>
    </row>
    <row r="70" spans="5:13" x14ac:dyDescent="0.3">
      <c r="E70" s="70">
        <v>40</v>
      </c>
      <c r="F70" s="70">
        <f t="shared" si="0"/>
        <v>200</v>
      </c>
      <c r="G70" s="70">
        <v>3.8</v>
      </c>
      <c r="K70" s="70">
        <v>40</v>
      </c>
      <c r="L70" s="70">
        <f t="shared" si="2"/>
        <v>80</v>
      </c>
      <c r="M70" s="70">
        <v>3.5</v>
      </c>
    </row>
    <row r="71" spans="5:13" x14ac:dyDescent="0.3">
      <c r="E71" s="70">
        <v>41</v>
      </c>
      <c r="F71" s="70">
        <f t="shared" si="0"/>
        <v>205</v>
      </c>
      <c r="G71" s="70">
        <v>3.9</v>
      </c>
      <c r="K71" s="70">
        <v>41</v>
      </c>
      <c r="L71" s="70">
        <f t="shared" si="2"/>
        <v>82</v>
      </c>
      <c r="M71" s="70">
        <v>3.6</v>
      </c>
    </row>
    <row r="72" spans="5:13" x14ac:dyDescent="0.3">
      <c r="E72" s="70">
        <v>42</v>
      </c>
      <c r="F72" s="70">
        <f t="shared" si="0"/>
        <v>210</v>
      </c>
      <c r="G72" s="70">
        <v>4</v>
      </c>
      <c r="K72" s="70">
        <v>42</v>
      </c>
      <c r="L72" s="70">
        <f t="shared" si="2"/>
        <v>84</v>
      </c>
      <c r="M72" s="70">
        <v>3.7</v>
      </c>
    </row>
    <row r="73" spans="5:13" x14ac:dyDescent="0.3">
      <c r="E73" s="70">
        <v>43</v>
      </c>
      <c r="F73" s="70">
        <f t="shared" si="0"/>
        <v>215</v>
      </c>
      <c r="G73" s="70">
        <v>4.0999999999999996</v>
      </c>
      <c r="K73" s="70">
        <v>43</v>
      </c>
      <c r="L73" s="70">
        <f t="shared" si="2"/>
        <v>86</v>
      </c>
      <c r="M73" s="70">
        <v>3.8</v>
      </c>
    </row>
    <row r="74" spans="5:13" x14ac:dyDescent="0.3">
      <c r="E74" s="70">
        <v>44</v>
      </c>
      <c r="F74" s="70">
        <f t="shared" si="0"/>
        <v>220</v>
      </c>
      <c r="G74" s="70">
        <v>4.1999999999999904</v>
      </c>
      <c r="K74" s="70">
        <v>44</v>
      </c>
      <c r="L74" s="70">
        <f t="shared" si="2"/>
        <v>88</v>
      </c>
      <c r="M74" s="70">
        <v>3.9</v>
      </c>
    </row>
    <row r="75" spans="5:13" x14ac:dyDescent="0.3">
      <c r="E75" s="70">
        <v>45</v>
      </c>
      <c r="F75" s="70">
        <f t="shared" si="0"/>
        <v>225</v>
      </c>
      <c r="G75" s="70">
        <v>4.2999999999999901</v>
      </c>
      <c r="K75" s="70">
        <v>45</v>
      </c>
      <c r="L75" s="70">
        <f t="shared" si="2"/>
        <v>90</v>
      </c>
      <c r="M75" s="70">
        <v>4</v>
      </c>
    </row>
    <row r="76" spans="5:13" x14ac:dyDescent="0.3">
      <c r="E76" s="70">
        <v>46</v>
      </c>
      <c r="F76" s="70">
        <f t="shared" si="0"/>
        <v>230</v>
      </c>
      <c r="G76" s="70">
        <v>4.3999999999999897</v>
      </c>
      <c r="K76" s="70">
        <v>46</v>
      </c>
      <c r="L76" s="70">
        <f t="shared" si="2"/>
        <v>92</v>
      </c>
      <c r="M76" s="70">
        <v>4.0999999999999996</v>
      </c>
    </row>
    <row r="77" spans="5:13" x14ac:dyDescent="0.3">
      <c r="E77" s="70">
        <v>47</v>
      </c>
      <c r="F77" s="70">
        <f t="shared" si="0"/>
        <v>235</v>
      </c>
      <c r="G77" s="70">
        <v>4.4999999999999902</v>
      </c>
      <c r="K77" s="70">
        <v>47</v>
      </c>
      <c r="L77" s="70">
        <f t="shared" si="2"/>
        <v>94</v>
      </c>
      <c r="M77" s="70">
        <v>4.2</v>
      </c>
    </row>
    <row r="78" spans="5:13" x14ac:dyDescent="0.3">
      <c r="E78" s="70">
        <v>48</v>
      </c>
      <c r="F78" s="70">
        <f t="shared" si="0"/>
        <v>240</v>
      </c>
      <c r="G78" s="70">
        <v>4.5999999999999899</v>
      </c>
      <c r="K78" s="70">
        <v>48</v>
      </c>
      <c r="L78" s="70">
        <f t="shared" si="2"/>
        <v>96</v>
      </c>
      <c r="M78" s="70">
        <v>4.3</v>
      </c>
    </row>
    <row r="79" spans="5:13" x14ac:dyDescent="0.3">
      <c r="E79" s="70">
        <v>49</v>
      </c>
      <c r="F79" s="70">
        <f t="shared" si="0"/>
        <v>245</v>
      </c>
      <c r="G79" s="70">
        <v>4.6999999999999904</v>
      </c>
      <c r="K79" s="70">
        <v>49</v>
      </c>
      <c r="L79" s="70">
        <f t="shared" si="2"/>
        <v>98</v>
      </c>
      <c r="M79" s="70">
        <v>4.4000000000000004</v>
      </c>
    </row>
    <row r="80" spans="5:13" x14ac:dyDescent="0.3">
      <c r="E80" s="70">
        <v>50</v>
      </c>
      <c r="F80" s="70">
        <f t="shared" si="0"/>
        <v>250</v>
      </c>
      <c r="G80" s="70">
        <v>4.7999999999999901</v>
      </c>
      <c r="K80" s="70">
        <v>50</v>
      </c>
      <c r="L80" s="70">
        <f t="shared" si="2"/>
        <v>100</v>
      </c>
      <c r="M80" s="70">
        <v>4.5</v>
      </c>
    </row>
    <row r="81" spans="5:13" x14ac:dyDescent="0.3">
      <c r="E81" s="70">
        <v>51</v>
      </c>
      <c r="F81" s="70">
        <f t="shared" si="0"/>
        <v>255</v>
      </c>
      <c r="G81" s="70">
        <v>4.8999999999999897</v>
      </c>
      <c r="K81" s="70">
        <v>51</v>
      </c>
      <c r="L81" s="70">
        <f t="shared" si="2"/>
        <v>102</v>
      </c>
      <c r="M81" s="70">
        <v>4.5999999999999996</v>
      </c>
    </row>
    <row r="82" spans="5:13" x14ac:dyDescent="0.3">
      <c r="E82" s="70">
        <v>52</v>
      </c>
      <c r="F82" s="70">
        <f t="shared" si="0"/>
        <v>260</v>
      </c>
      <c r="G82" s="70">
        <v>4.9999999999999902</v>
      </c>
      <c r="K82" s="70">
        <v>52</v>
      </c>
      <c r="L82" s="70">
        <f t="shared" si="2"/>
        <v>104</v>
      </c>
      <c r="M82" s="70">
        <v>4.7</v>
      </c>
    </row>
    <row r="83" spans="5:13" x14ac:dyDescent="0.3">
      <c r="E83" s="70">
        <v>53</v>
      </c>
      <c r="F83" s="70">
        <f t="shared" si="0"/>
        <v>265</v>
      </c>
      <c r="G83" s="70">
        <v>5.0999999999999899</v>
      </c>
      <c r="K83" s="70">
        <v>53</v>
      </c>
      <c r="L83" s="70">
        <f t="shared" si="2"/>
        <v>106</v>
      </c>
      <c r="M83" s="70">
        <v>4.8</v>
      </c>
    </row>
    <row r="84" spans="5:13" x14ac:dyDescent="0.3">
      <c r="E84" s="70">
        <v>54</v>
      </c>
      <c r="F84" s="70">
        <f t="shared" si="0"/>
        <v>270</v>
      </c>
      <c r="G84" s="70">
        <v>5.1999999999999904</v>
      </c>
      <c r="K84" s="70">
        <v>54</v>
      </c>
      <c r="L84" s="70">
        <f t="shared" si="2"/>
        <v>108</v>
      </c>
      <c r="M84" s="70">
        <v>4.9000000000000004</v>
      </c>
    </row>
    <row r="85" spans="5:13" x14ac:dyDescent="0.3">
      <c r="E85" s="70">
        <v>55</v>
      </c>
      <c r="F85" s="70">
        <f t="shared" si="0"/>
        <v>275</v>
      </c>
      <c r="G85" s="70">
        <v>5.2999999999999901</v>
      </c>
      <c r="K85" s="70">
        <v>55</v>
      </c>
      <c r="L85" s="70">
        <f t="shared" si="2"/>
        <v>110</v>
      </c>
      <c r="M85" s="70">
        <v>5</v>
      </c>
    </row>
    <row r="86" spans="5:13" x14ac:dyDescent="0.3">
      <c r="E86" s="70">
        <v>56</v>
      </c>
      <c r="F86" s="70">
        <f t="shared" si="0"/>
        <v>280</v>
      </c>
      <c r="G86" s="70">
        <v>5.3999999999999897</v>
      </c>
      <c r="K86" s="70">
        <v>56</v>
      </c>
      <c r="L86" s="70">
        <f t="shared" si="2"/>
        <v>112</v>
      </c>
      <c r="M86" s="70">
        <v>5.0999999999999996</v>
      </c>
    </row>
    <row r="87" spans="5:13" x14ac:dyDescent="0.3">
      <c r="E87" s="70">
        <v>57</v>
      </c>
      <c r="F87" s="70">
        <f t="shared" si="0"/>
        <v>285</v>
      </c>
      <c r="G87" s="70">
        <v>5.4999999999999902</v>
      </c>
      <c r="K87" s="70">
        <v>57</v>
      </c>
      <c r="L87" s="70">
        <f t="shared" si="2"/>
        <v>114</v>
      </c>
      <c r="M87" s="70">
        <v>5.2</v>
      </c>
    </row>
    <row r="88" spans="5:13" x14ac:dyDescent="0.3">
      <c r="E88" s="70">
        <v>58</v>
      </c>
      <c r="F88" s="70">
        <f t="shared" si="0"/>
        <v>290</v>
      </c>
      <c r="G88" s="70">
        <v>5.5999999999999899</v>
      </c>
      <c r="K88" s="70">
        <v>58</v>
      </c>
      <c r="L88" s="70">
        <f t="shared" si="2"/>
        <v>116</v>
      </c>
      <c r="M88" s="70">
        <v>5.3</v>
      </c>
    </row>
    <row r="89" spans="5:13" x14ac:dyDescent="0.3">
      <c r="E89" s="70">
        <v>59</v>
      </c>
      <c r="F89" s="70">
        <f t="shared" si="0"/>
        <v>295</v>
      </c>
      <c r="G89" s="70">
        <v>5.6999999999999904</v>
      </c>
      <c r="K89" s="70">
        <v>59</v>
      </c>
      <c r="L89" s="70">
        <f t="shared" si="2"/>
        <v>118</v>
      </c>
      <c r="M89" s="70">
        <v>5.4</v>
      </c>
    </row>
    <row r="90" spans="5:13" x14ac:dyDescent="0.3">
      <c r="E90" s="70">
        <v>60</v>
      </c>
      <c r="F90" s="70">
        <f t="shared" si="0"/>
        <v>300</v>
      </c>
      <c r="G90" s="70">
        <v>5.7999999999999901</v>
      </c>
      <c r="K90" s="70">
        <v>60</v>
      </c>
      <c r="L90" s="70">
        <f t="shared" si="2"/>
        <v>120</v>
      </c>
      <c r="M90" s="70">
        <v>5.5</v>
      </c>
    </row>
    <row r="91" spans="5:13" x14ac:dyDescent="0.3">
      <c r="E91" s="70">
        <v>61</v>
      </c>
      <c r="F91" s="70">
        <f t="shared" si="0"/>
        <v>305</v>
      </c>
      <c r="G91" s="70">
        <v>5.8999999999999897</v>
      </c>
      <c r="K91" s="70">
        <v>61</v>
      </c>
      <c r="L91" s="70">
        <f t="shared" si="2"/>
        <v>122</v>
      </c>
      <c r="M91" s="70">
        <v>5.6</v>
      </c>
    </row>
    <row r="92" spans="5:13" x14ac:dyDescent="0.3">
      <c r="E92" s="70">
        <v>62</v>
      </c>
      <c r="F92" s="70">
        <f t="shared" si="0"/>
        <v>310</v>
      </c>
      <c r="G92" s="70">
        <v>5.9999999999999902</v>
      </c>
      <c r="K92" s="70">
        <v>62</v>
      </c>
      <c r="L92" s="70">
        <f t="shared" si="2"/>
        <v>124</v>
      </c>
      <c r="M92" s="70">
        <v>5.7</v>
      </c>
    </row>
    <row r="93" spans="5:13" x14ac:dyDescent="0.3">
      <c r="E93" s="70">
        <v>63</v>
      </c>
      <c r="F93" s="70">
        <f t="shared" si="0"/>
        <v>315</v>
      </c>
      <c r="G93" s="70">
        <v>6.0999999999999899</v>
      </c>
      <c r="K93" s="70">
        <v>63</v>
      </c>
      <c r="L93" s="70">
        <f t="shared" si="2"/>
        <v>126</v>
      </c>
      <c r="M93" s="70">
        <v>5.8</v>
      </c>
    </row>
    <row r="94" spans="5:13" x14ac:dyDescent="0.3">
      <c r="E94" s="70">
        <v>64</v>
      </c>
      <c r="F94" s="70">
        <f t="shared" si="0"/>
        <v>320</v>
      </c>
      <c r="G94" s="70">
        <v>6.1999999999999904</v>
      </c>
      <c r="K94" s="70">
        <v>64</v>
      </c>
      <c r="L94" s="70">
        <f t="shared" si="2"/>
        <v>128</v>
      </c>
      <c r="M94" s="70">
        <v>5.9</v>
      </c>
    </row>
    <row r="95" spans="5:13" x14ac:dyDescent="0.3">
      <c r="E95" s="70">
        <v>65</v>
      </c>
      <c r="F95" s="70">
        <f t="shared" si="0"/>
        <v>325</v>
      </c>
      <c r="G95" s="70">
        <v>6.2999999999999901</v>
      </c>
      <c r="K95" s="70">
        <v>65</v>
      </c>
      <c r="L95" s="70">
        <f t="shared" si="2"/>
        <v>130</v>
      </c>
      <c r="M95" s="70">
        <v>6</v>
      </c>
    </row>
    <row r="96" spans="5:13" x14ac:dyDescent="0.3">
      <c r="E96" s="70">
        <v>66</v>
      </c>
      <c r="F96" s="70">
        <f t="shared" si="0"/>
        <v>330</v>
      </c>
      <c r="G96" s="70">
        <v>6.3999999999999897</v>
      </c>
      <c r="K96" s="70">
        <v>66</v>
      </c>
      <c r="L96" s="70">
        <f t="shared" si="2"/>
        <v>132</v>
      </c>
      <c r="M96" s="70">
        <v>6.1</v>
      </c>
    </row>
    <row r="97" spans="5:13" x14ac:dyDescent="0.3">
      <c r="E97" s="70">
        <v>67</v>
      </c>
      <c r="F97" s="70">
        <f t="shared" ref="F97:F160" si="3">+F96+$F$27</f>
        <v>335</v>
      </c>
      <c r="G97" s="70">
        <v>6.4999999999999902</v>
      </c>
      <c r="K97" s="70">
        <v>67</v>
      </c>
      <c r="L97" s="70">
        <f t="shared" ref="L97:L160" si="4">+L96+$L$27</f>
        <v>134</v>
      </c>
      <c r="M97" s="70">
        <v>6.2</v>
      </c>
    </row>
    <row r="98" spans="5:13" x14ac:dyDescent="0.3">
      <c r="E98" s="70">
        <v>68</v>
      </c>
      <c r="F98" s="70">
        <f t="shared" si="3"/>
        <v>340</v>
      </c>
      <c r="G98" s="70">
        <v>6.5999999999999899</v>
      </c>
      <c r="K98" s="70">
        <v>68</v>
      </c>
      <c r="L98" s="70">
        <f t="shared" si="4"/>
        <v>136</v>
      </c>
      <c r="M98" s="70">
        <v>6.3</v>
      </c>
    </row>
    <row r="99" spans="5:13" x14ac:dyDescent="0.3">
      <c r="E99" s="70">
        <v>69</v>
      </c>
      <c r="F99" s="70">
        <f t="shared" si="3"/>
        <v>345</v>
      </c>
      <c r="G99" s="70">
        <v>6.6999999999999904</v>
      </c>
      <c r="K99" s="70">
        <v>69</v>
      </c>
      <c r="L99" s="70">
        <f t="shared" si="4"/>
        <v>138</v>
      </c>
      <c r="M99" s="70">
        <v>6.4</v>
      </c>
    </row>
    <row r="100" spans="5:13" x14ac:dyDescent="0.3">
      <c r="E100" s="70">
        <v>70</v>
      </c>
      <c r="F100" s="70">
        <f t="shared" si="3"/>
        <v>350</v>
      </c>
      <c r="G100" s="70">
        <v>6.7999999999999901</v>
      </c>
      <c r="K100" s="70">
        <v>70</v>
      </c>
      <c r="L100" s="70">
        <f t="shared" si="4"/>
        <v>140</v>
      </c>
      <c r="M100" s="70">
        <v>6.5</v>
      </c>
    </row>
    <row r="101" spans="5:13" x14ac:dyDescent="0.3">
      <c r="E101" s="70">
        <v>71</v>
      </c>
      <c r="F101" s="70">
        <f t="shared" si="3"/>
        <v>355</v>
      </c>
      <c r="G101" s="70">
        <v>6.8999999999999897</v>
      </c>
      <c r="K101" s="70">
        <v>71</v>
      </c>
      <c r="L101" s="70">
        <f t="shared" si="4"/>
        <v>142</v>
      </c>
      <c r="M101" s="70">
        <v>6.6</v>
      </c>
    </row>
    <row r="102" spans="5:13" x14ac:dyDescent="0.3">
      <c r="E102" s="70">
        <v>72</v>
      </c>
      <c r="F102" s="70">
        <f t="shared" si="3"/>
        <v>360</v>
      </c>
      <c r="G102" s="70">
        <v>6.9999999999999796</v>
      </c>
      <c r="K102" s="70">
        <v>72</v>
      </c>
      <c r="L102" s="70">
        <f t="shared" si="4"/>
        <v>144</v>
      </c>
      <c r="M102" s="70">
        <v>6.7</v>
      </c>
    </row>
    <row r="103" spans="5:13" x14ac:dyDescent="0.3">
      <c r="E103" s="70">
        <v>73</v>
      </c>
      <c r="F103" s="70">
        <f t="shared" si="3"/>
        <v>365</v>
      </c>
      <c r="G103" s="70">
        <v>7.0999999999999801</v>
      </c>
      <c r="K103" s="70">
        <v>73</v>
      </c>
      <c r="L103" s="70">
        <f t="shared" si="4"/>
        <v>146</v>
      </c>
      <c r="M103" s="70">
        <v>6.8</v>
      </c>
    </row>
    <row r="104" spans="5:13" x14ac:dyDescent="0.3">
      <c r="E104" s="70">
        <v>74</v>
      </c>
      <c r="F104" s="70">
        <f t="shared" si="3"/>
        <v>370</v>
      </c>
      <c r="G104" s="70">
        <v>7.1999999999999797</v>
      </c>
      <c r="K104" s="70">
        <v>74</v>
      </c>
      <c r="L104" s="70">
        <f t="shared" si="4"/>
        <v>148</v>
      </c>
      <c r="M104" s="70">
        <v>6.9</v>
      </c>
    </row>
    <row r="105" spans="5:13" x14ac:dyDescent="0.3">
      <c r="E105" s="70">
        <v>75</v>
      </c>
      <c r="F105" s="70">
        <f t="shared" si="3"/>
        <v>375</v>
      </c>
      <c r="G105" s="70">
        <v>7.2999999999999803</v>
      </c>
      <c r="K105" s="70">
        <v>75</v>
      </c>
      <c r="L105" s="70">
        <f t="shared" si="4"/>
        <v>150</v>
      </c>
      <c r="M105" s="70">
        <v>7</v>
      </c>
    </row>
    <row r="106" spans="5:13" x14ac:dyDescent="0.3">
      <c r="E106" s="70">
        <v>76</v>
      </c>
      <c r="F106" s="70">
        <f t="shared" si="3"/>
        <v>380</v>
      </c>
      <c r="G106" s="70">
        <v>7.3999999999999799</v>
      </c>
      <c r="K106" s="70">
        <v>76</v>
      </c>
      <c r="L106" s="70">
        <f t="shared" si="4"/>
        <v>152</v>
      </c>
      <c r="M106" s="70">
        <v>7.1</v>
      </c>
    </row>
    <row r="107" spans="5:13" x14ac:dyDescent="0.3">
      <c r="E107" s="70">
        <v>77</v>
      </c>
      <c r="F107" s="70">
        <f t="shared" si="3"/>
        <v>385</v>
      </c>
      <c r="G107" s="70">
        <v>7.4999999999999796</v>
      </c>
      <c r="K107" s="70">
        <v>77</v>
      </c>
      <c r="L107" s="70">
        <f t="shared" si="4"/>
        <v>154</v>
      </c>
      <c r="M107" s="70">
        <v>7.2</v>
      </c>
    </row>
    <row r="108" spans="5:13" x14ac:dyDescent="0.3">
      <c r="E108" s="70">
        <v>78</v>
      </c>
      <c r="F108" s="70">
        <f t="shared" si="3"/>
        <v>390</v>
      </c>
      <c r="G108" s="70">
        <v>7.5999999999999801</v>
      </c>
      <c r="K108" s="70">
        <v>78</v>
      </c>
      <c r="L108" s="70">
        <f t="shared" si="4"/>
        <v>156</v>
      </c>
      <c r="M108" s="70">
        <v>7.3</v>
      </c>
    </row>
    <row r="109" spans="5:13" x14ac:dyDescent="0.3">
      <c r="E109" s="70">
        <v>79</v>
      </c>
      <c r="F109" s="70">
        <f t="shared" si="3"/>
        <v>395</v>
      </c>
      <c r="G109" s="70">
        <v>7.6999999999999797</v>
      </c>
      <c r="K109" s="70">
        <v>79</v>
      </c>
      <c r="L109" s="70">
        <f t="shared" si="4"/>
        <v>158</v>
      </c>
      <c r="M109" s="70">
        <v>7.4</v>
      </c>
    </row>
    <row r="110" spans="5:13" x14ac:dyDescent="0.3">
      <c r="E110" s="70">
        <v>80</v>
      </c>
      <c r="F110" s="70">
        <f t="shared" si="3"/>
        <v>400</v>
      </c>
      <c r="G110" s="70">
        <v>7.7999999999999803</v>
      </c>
      <c r="K110" s="70">
        <v>80</v>
      </c>
      <c r="L110" s="70">
        <f t="shared" si="4"/>
        <v>160</v>
      </c>
      <c r="M110" s="70">
        <v>7.5</v>
      </c>
    </row>
    <row r="111" spans="5:13" x14ac:dyDescent="0.3">
      <c r="E111" s="70">
        <v>81</v>
      </c>
      <c r="F111" s="70">
        <f t="shared" si="3"/>
        <v>405</v>
      </c>
      <c r="G111" s="70">
        <v>7.8999999999999799</v>
      </c>
      <c r="K111" s="70">
        <v>81</v>
      </c>
      <c r="L111" s="70">
        <f t="shared" si="4"/>
        <v>162</v>
      </c>
      <c r="M111" s="70">
        <v>7.6</v>
      </c>
    </row>
    <row r="112" spans="5:13" x14ac:dyDescent="0.3">
      <c r="E112" s="70">
        <v>82</v>
      </c>
      <c r="F112" s="70">
        <f t="shared" si="3"/>
        <v>410</v>
      </c>
      <c r="G112" s="70">
        <v>7.9999999999999796</v>
      </c>
      <c r="K112" s="70">
        <v>82</v>
      </c>
      <c r="L112" s="70">
        <f t="shared" si="4"/>
        <v>164</v>
      </c>
      <c r="M112" s="70">
        <v>7.7</v>
      </c>
    </row>
    <row r="113" spans="5:13" x14ac:dyDescent="0.3">
      <c r="E113" s="70">
        <v>83</v>
      </c>
      <c r="F113" s="70">
        <f t="shared" si="3"/>
        <v>415</v>
      </c>
      <c r="G113" s="70">
        <v>8.0999999999999801</v>
      </c>
      <c r="K113" s="70">
        <v>83</v>
      </c>
      <c r="L113" s="70">
        <f t="shared" si="4"/>
        <v>166</v>
      </c>
      <c r="M113" s="70">
        <v>7.8</v>
      </c>
    </row>
    <row r="114" spans="5:13" x14ac:dyDescent="0.3">
      <c r="E114" s="70">
        <v>84</v>
      </c>
      <c r="F114" s="70">
        <f t="shared" si="3"/>
        <v>420</v>
      </c>
      <c r="G114" s="70">
        <v>8.1999999999999797</v>
      </c>
      <c r="K114" s="70">
        <v>84</v>
      </c>
      <c r="L114" s="70">
        <f t="shared" si="4"/>
        <v>168</v>
      </c>
      <c r="M114" s="70">
        <v>7.9000000000000101</v>
      </c>
    </row>
    <row r="115" spans="5:13" x14ac:dyDescent="0.3">
      <c r="E115" s="70">
        <v>85</v>
      </c>
      <c r="F115" s="70">
        <f t="shared" si="3"/>
        <v>425</v>
      </c>
      <c r="G115" s="70">
        <v>8.2999999999999794</v>
      </c>
      <c r="K115" s="70">
        <v>85</v>
      </c>
      <c r="L115" s="70">
        <f t="shared" si="4"/>
        <v>170</v>
      </c>
      <c r="M115" s="70">
        <v>8</v>
      </c>
    </row>
    <row r="116" spans="5:13" x14ac:dyDescent="0.3">
      <c r="E116" s="70">
        <v>86</v>
      </c>
      <c r="F116" s="70">
        <f t="shared" si="3"/>
        <v>430</v>
      </c>
      <c r="G116" s="70">
        <v>8.3999999999999808</v>
      </c>
      <c r="K116" s="70">
        <v>86</v>
      </c>
      <c r="L116" s="70">
        <f t="shared" si="4"/>
        <v>172</v>
      </c>
      <c r="M116" s="70">
        <v>8.1</v>
      </c>
    </row>
    <row r="117" spans="5:13" x14ac:dyDescent="0.3">
      <c r="E117" s="70">
        <v>87</v>
      </c>
      <c r="F117" s="70">
        <f t="shared" si="3"/>
        <v>435</v>
      </c>
      <c r="G117" s="70">
        <v>8.4999999999999805</v>
      </c>
      <c r="K117" s="70">
        <v>87</v>
      </c>
      <c r="L117" s="70">
        <f t="shared" si="4"/>
        <v>174</v>
      </c>
      <c r="M117" s="70">
        <v>8.2000000000000099</v>
      </c>
    </row>
    <row r="118" spans="5:13" x14ac:dyDescent="0.3">
      <c r="E118" s="70">
        <v>88</v>
      </c>
      <c r="F118" s="70">
        <f t="shared" si="3"/>
        <v>440</v>
      </c>
      <c r="G118" s="70">
        <v>8.5999999999999801</v>
      </c>
      <c r="K118" s="70">
        <v>88</v>
      </c>
      <c r="L118" s="70">
        <f t="shared" si="4"/>
        <v>176</v>
      </c>
      <c r="M118" s="70">
        <v>8.3000000000000096</v>
      </c>
    </row>
    <row r="119" spans="5:13" x14ac:dyDescent="0.3">
      <c r="E119" s="70">
        <v>89</v>
      </c>
      <c r="F119" s="70">
        <f t="shared" si="3"/>
        <v>445</v>
      </c>
      <c r="G119" s="70">
        <v>8.6999999999999797</v>
      </c>
      <c r="K119" s="70">
        <v>89</v>
      </c>
      <c r="L119" s="70">
        <f t="shared" si="4"/>
        <v>178</v>
      </c>
      <c r="M119" s="70">
        <v>8.4000000000000092</v>
      </c>
    </row>
    <row r="120" spans="5:13" x14ac:dyDescent="0.3">
      <c r="E120" s="70">
        <v>90</v>
      </c>
      <c r="F120" s="70">
        <f t="shared" si="3"/>
        <v>450</v>
      </c>
      <c r="G120" s="70">
        <v>8.7999999999999794</v>
      </c>
      <c r="K120" s="70">
        <v>90</v>
      </c>
      <c r="L120" s="70">
        <f t="shared" si="4"/>
        <v>180</v>
      </c>
      <c r="M120" s="70">
        <v>8.5</v>
      </c>
    </row>
    <row r="121" spans="5:13" x14ac:dyDescent="0.3">
      <c r="E121" s="70">
        <v>91</v>
      </c>
      <c r="F121" s="70">
        <f t="shared" si="3"/>
        <v>455</v>
      </c>
      <c r="G121" s="70">
        <v>8.8999999999999808</v>
      </c>
      <c r="K121" s="70">
        <v>91</v>
      </c>
      <c r="L121" s="70">
        <f t="shared" si="4"/>
        <v>182</v>
      </c>
      <c r="M121" s="70">
        <v>8.6000000000000103</v>
      </c>
    </row>
    <row r="122" spans="5:13" x14ac:dyDescent="0.3">
      <c r="E122" s="70">
        <v>92</v>
      </c>
      <c r="F122" s="70">
        <f t="shared" si="3"/>
        <v>460</v>
      </c>
      <c r="G122" s="70">
        <v>8.9999999999999805</v>
      </c>
      <c r="K122" s="70">
        <v>92</v>
      </c>
      <c r="L122" s="70">
        <f t="shared" si="4"/>
        <v>184</v>
      </c>
      <c r="M122" s="70">
        <v>8.7000000000000099</v>
      </c>
    </row>
    <row r="123" spans="5:13" x14ac:dyDescent="0.3">
      <c r="E123" s="70">
        <v>93</v>
      </c>
      <c r="F123" s="70">
        <f t="shared" si="3"/>
        <v>465</v>
      </c>
      <c r="G123" s="70">
        <v>9.0999999999999801</v>
      </c>
      <c r="K123" s="70">
        <v>93</v>
      </c>
      <c r="L123" s="70">
        <f t="shared" si="4"/>
        <v>186</v>
      </c>
      <c r="M123" s="70">
        <v>8.8000000000000096</v>
      </c>
    </row>
    <row r="124" spans="5:13" x14ac:dyDescent="0.3">
      <c r="E124" s="70">
        <v>94</v>
      </c>
      <c r="F124" s="70">
        <f t="shared" si="3"/>
        <v>470</v>
      </c>
      <c r="G124" s="70">
        <v>9.1999999999999797</v>
      </c>
      <c r="K124" s="70">
        <v>94</v>
      </c>
      <c r="L124" s="70">
        <f t="shared" si="4"/>
        <v>188</v>
      </c>
      <c r="M124" s="70">
        <v>8.9000000000000092</v>
      </c>
    </row>
    <row r="125" spans="5:13" x14ac:dyDescent="0.3">
      <c r="E125" s="70">
        <v>95</v>
      </c>
      <c r="F125" s="70">
        <f t="shared" si="3"/>
        <v>475</v>
      </c>
      <c r="G125" s="70">
        <v>9.2999999999999794</v>
      </c>
      <c r="K125" s="70">
        <v>95</v>
      </c>
      <c r="L125" s="70">
        <f t="shared" si="4"/>
        <v>190</v>
      </c>
      <c r="M125" s="70">
        <v>9.0000000000000107</v>
      </c>
    </row>
    <row r="126" spans="5:13" x14ac:dyDescent="0.3">
      <c r="E126" s="70">
        <v>96</v>
      </c>
      <c r="F126" s="70">
        <f t="shared" si="3"/>
        <v>480</v>
      </c>
      <c r="G126" s="70">
        <v>9.3999999999999808</v>
      </c>
      <c r="K126" s="70">
        <v>96</v>
      </c>
      <c r="L126" s="70">
        <f t="shared" si="4"/>
        <v>192</v>
      </c>
      <c r="M126" s="70">
        <v>9.1000000000000103</v>
      </c>
    </row>
    <row r="127" spans="5:13" x14ac:dyDescent="0.3">
      <c r="E127" s="70">
        <v>97</v>
      </c>
      <c r="F127" s="70">
        <f t="shared" si="3"/>
        <v>485</v>
      </c>
      <c r="G127" s="70">
        <v>9.4999999999999805</v>
      </c>
      <c r="K127" s="70">
        <v>97</v>
      </c>
      <c r="L127" s="70">
        <f t="shared" si="4"/>
        <v>194</v>
      </c>
      <c r="M127" s="70">
        <v>9.2000000000000099</v>
      </c>
    </row>
    <row r="128" spans="5:13" x14ac:dyDescent="0.3">
      <c r="E128" s="70">
        <v>98</v>
      </c>
      <c r="F128" s="70">
        <f t="shared" si="3"/>
        <v>490</v>
      </c>
      <c r="G128" s="70">
        <v>9.5999999999999801</v>
      </c>
      <c r="K128" s="70">
        <v>98</v>
      </c>
      <c r="L128" s="70">
        <f t="shared" si="4"/>
        <v>196</v>
      </c>
      <c r="M128" s="70">
        <v>9.3000000000000096</v>
      </c>
    </row>
    <row r="129" spans="5:13" x14ac:dyDescent="0.3">
      <c r="E129" s="70">
        <v>99</v>
      </c>
      <c r="F129" s="70">
        <f t="shared" si="3"/>
        <v>495</v>
      </c>
      <c r="G129" s="70">
        <v>9.6999999999999797</v>
      </c>
      <c r="K129" s="70">
        <v>99</v>
      </c>
      <c r="L129" s="70">
        <f t="shared" si="4"/>
        <v>198</v>
      </c>
      <c r="M129" s="70">
        <v>9.4000000000000092</v>
      </c>
    </row>
    <row r="130" spans="5:13" x14ac:dyDescent="0.3">
      <c r="E130" s="70">
        <v>100</v>
      </c>
      <c r="F130" s="70">
        <f t="shared" si="3"/>
        <v>500</v>
      </c>
      <c r="G130" s="70">
        <v>9.7999999999999794</v>
      </c>
      <c r="K130" s="70">
        <v>100</v>
      </c>
      <c r="L130" s="70">
        <f t="shared" si="4"/>
        <v>200</v>
      </c>
      <c r="M130" s="70">
        <v>9.5000000000000107</v>
      </c>
    </row>
    <row r="131" spans="5:13" x14ac:dyDescent="0.3">
      <c r="E131" s="70">
        <v>101</v>
      </c>
      <c r="F131" s="70">
        <f t="shared" si="3"/>
        <v>505</v>
      </c>
      <c r="G131" s="70">
        <v>9.8999999999999808</v>
      </c>
      <c r="K131" s="70">
        <v>101</v>
      </c>
      <c r="L131" s="70">
        <f t="shared" si="4"/>
        <v>202</v>
      </c>
      <c r="M131" s="70">
        <v>9.6000000000000103</v>
      </c>
    </row>
    <row r="132" spans="5:13" x14ac:dyDescent="0.3">
      <c r="E132" s="70">
        <v>102</v>
      </c>
      <c r="F132" s="70">
        <f t="shared" si="3"/>
        <v>510</v>
      </c>
      <c r="G132" s="70">
        <v>9.9999999999999805</v>
      </c>
      <c r="K132" s="70">
        <v>102</v>
      </c>
      <c r="L132" s="70">
        <f t="shared" si="4"/>
        <v>204</v>
      </c>
      <c r="M132" s="70">
        <v>9.7000000000000099</v>
      </c>
    </row>
    <row r="133" spans="5:13" x14ac:dyDescent="0.3">
      <c r="E133" s="70">
        <v>103</v>
      </c>
      <c r="F133" s="70">
        <f t="shared" si="3"/>
        <v>515</v>
      </c>
      <c r="G133" s="70">
        <v>10.1</v>
      </c>
      <c r="K133" s="70">
        <v>103</v>
      </c>
      <c r="L133" s="70">
        <f t="shared" si="4"/>
        <v>206</v>
      </c>
      <c r="M133" s="70">
        <v>9.8000000000000096</v>
      </c>
    </row>
    <row r="134" spans="5:13" x14ac:dyDescent="0.3">
      <c r="E134" s="70">
        <v>104</v>
      </c>
      <c r="F134" s="70">
        <f t="shared" si="3"/>
        <v>520</v>
      </c>
      <c r="G134" s="70">
        <v>10.199999999999999</v>
      </c>
      <c r="K134" s="70">
        <v>104</v>
      </c>
      <c r="L134" s="70">
        <f t="shared" si="4"/>
        <v>208</v>
      </c>
      <c r="M134" s="70">
        <v>9.9000000000000092</v>
      </c>
    </row>
    <row r="135" spans="5:13" x14ac:dyDescent="0.3">
      <c r="E135" s="70">
        <v>105</v>
      </c>
      <c r="F135" s="70">
        <f t="shared" si="3"/>
        <v>525</v>
      </c>
      <c r="G135" s="70">
        <v>10.3</v>
      </c>
      <c r="K135" s="70">
        <v>105</v>
      </c>
      <c r="L135" s="70">
        <f t="shared" si="4"/>
        <v>210</v>
      </c>
      <c r="M135" s="70">
        <v>10</v>
      </c>
    </row>
    <row r="136" spans="5:13" x14ac:dyDescent="0.3">
      <c r="E136" s="70">
        <v>106</v>
      </c>
      <c r="F136" s="70">
        <f t="shared" si="3"/>
        <v>530</v>
      </c>
      <c r="G136" s="70">
        <v>10.4</v>
      </c>
      <c r="K136" s="70">
        <v>106</v>
      </c>
      <c r="L136" s="70">
        <f t="shared" si="4"/>
        <v>212</v>
      </c>
      <c r="M136" s="70">
        <v>10.1</v>
      </c>
    </row>
    <row r="137" spans="5:13" x14ac:dyDescent="0.3">
      <c r="E137" s="70">
        <v>107</v>
      </c>
      <c r="F137" s="70">
        <f t="shared" si="3"/>
        <v>535</v>
      </c>
      <c r="G137" s="70">
        <v>10.5</v>
      </c>
      <c r="K137" s="70">
        <v>107</v>
      </c>
      <c r="L137" s="70">
        <f t="shared" si="4"/>
        <v>214</v>
      </c>
      <c r="M137" s="70">
        <v>10.199999999999999</v>
      </c>
    </row>
    <row r="138" spans="5:13" x14ac:dyDescent="0.3">
      <c r="E138" s="70">
        <v>108</v>
      </c>
      <c r="F138" s="70">
        <f t="shared" si="3"/>
        <v>540</v>
      </c>
      <c r="G138" s="70">
        <v>10.6</v>
      </c>
      <c r="K138" s="70">
        <v>108</v>
      </c>
      <c r="L138" s="70">
        <f t="shared" si="4"/>
        <v>216</v>
      </c>
      <c r="M138" s="70">
        <v>10.3</v>
      </c>
    </row>
    <row r="139" spans="5:13" x14ac:dyDescent="0.3">
      <c r="E139" s="70">
        <v>109</v>
      </c>
      <c r="F139" s="70">
        <f t="shared" si="3"/>
        <v>545</v>
      </c>
      <c r="G139" s="70">
        <v>10.7</v>
      </c>
      <c r="K139" s="70">
        <v>109</v>
      </c>
      <c r="L139" s="70">
        <f t="shared" si="4"/>
        <v>218</v>
      </c>
      <c r="M139" s="70">
        <v>10.4</v>
      </c>
    </row>
    <row r="140" spans="5:13" x14ac:dyDescent="0.3">
      <c r="E140" s="70">
        <v>110</v>
      </c>
      <c r="F140" s="70">
        <f t="shared" si="3"/>
        <v>550</v>
      </c>
      <c r="G140" s="70">
        <v>10.8</v>
      </c>
      <c r="K140" s="70">
        <v>110</v>
      </c>
      <c r="L140" s="70">
        <f t="shared" si="4"/>
        <v>220</v>
      </c>
      <c r="M140" s="70">
        <v>10.5</v>
      </c>
    </row>
    <row r="141" spans="5:13" x14ac:dyDescent="0.3">
      <c r="E141" s="70">
        <v>111</v>
      </c>
      <c r="F141" s="70">
        <f t="shared" si="3"/>
        <v>555</v>
      </c>
      <c r="G141" s="70">
        <v>10.9</v>
      </c>
      <c r="K141" s="70">
        <v>111</v>
      </c>
      <c r="L141" s="70">
        <f t="shared" si="4"/>
        <v>222</v>
      </c>
      <c r="M141" s="70">
        <v>10.6</v>
      </c>
    </row>
    <row r="142" spans="5:13" x14ac:dyDescent="0.3">
      <c r="E142" s="70">
        <v>112</v>
      </c>
      <c r="F142" s="70">
        <f t="shared" si="3"/>
        <v>560</v>
      </c>
      <c r="G142" s="70">
        <v>11</v>
      </c>
      <c r="K142" s="70">
        <v>112</v>
      </c>
      <c r="L142" s="70">
        <f t="shared" si="4"/>
        <v>224</v>
      </c>
      <c r="M142" s="70">
        <v>10.7</v>
      </c>
    </row>
    <row r="143" spans="5:13" x14ac:dyDescent="0.3">
      <c r="E143" s="70">
        <v>113</v>
      </c>
      <c r="F143" s="70">
        <f t="shared" si="3"/>
        <v>565</v>
      </c>
      <c r="G143" s="70">
        <v>11.1</v>
      </c>
      <c r="K143" s="70">
        <v>113</v>
      </c>
      <c r="L143" s="70">
        <f t="shared" si="4"/>
        <v>226</v>
      </c>
      <c r="M143" s="70">
        <v>10.8</v>
      </c>
    </row>
    <row r="144" spans="5:13" x14ac:dyDescent="0.3">
      <c r="E144" s="70">
        <v>114</v>
      </c>
      <c r="F144" s="70">
        <f t="shared" si="3"/>
        <v>570</v>
      </c>
      <c r="G144" s="70">
        <v>11.2</v>
      </c>
      <c r="K144" s="70">
        <v>114</v>
      </c>
      <c r="L144" s="70">
        <f t="shared" si="4"/>
        <v>228</v>
      </c>
      <c r="M144" s="70">
        <v>10.9</v>
      </c>
    </row>
    <row r="145" spans="5:13" x14ac:dyDescent="0.3">
      <c r="E145" s="70">
        <v>115</v>
      </c>
      <c r="F145" s="70">
        <f t="shared" si="3"/>
        <v>575</v>
      </c>
      <c r="G145" s="70">
        <v>11.3</v>
      </c>
      <c r="K145" s="70">
        <v>115</v>
      </c>
      <c r="L145" s="70">
        <f t="shared" si="4"/>
        <v>230</v>
      </c>
      <c r="M145" s="70">
        <v>11</v>
      </c>
    </row>
    <row r="146" spans="5:13" x14ac:dyDescent="0.3">
      <c r="E146" s="70">
        <v>116</v>
      </c>
      <c r="F146" s="70">
        <f t="shared" si="3"/>
        <v>580</v>
      </c>
      <c r="G146" s="70">
        <v>11.4</v>
      </c>
      <c r="K146" s="70">
        <v>116</v>
      </c>
      <c r="L146" s="70">
        <f t="shared" si="4"/>
        <v>232</v>
      </c>
      <c r="M146" s="70">
        <v>11.1</v>
      </c>
    </row>
    <row r="147" spans="5:13" x14ac:dyDescent="0.3">
      <c r="E147" s="70">
        <v>117</v>
      </c>
      <c r="F147" s="70">
        <f t="shared" si="3"/>
        <v>585</v>
      </c>
      <c r="G147" s="70">
        <v>11.5</v>
      </c>
      <c r="K147" s="70">
        <v>117</v>
      </c>
      <c r="L147" s="70">
        <f t="shared" si="4"/>
        <v>234</v>
      </c>
      <c r="M147" s="70">
        <v>11.2</v>
      </c>
    </row>
    <row r="148" spans="5:13" x14ac:dyDescent="0.3">
      <c r="E148" s="70">
        <v>118</v>
      </c>
      <c r="F148" s="70">
        <f t="shared" si="3"/>
        <v>590</v>
      </c>
      <c r="G148" s="70">
        <v>11.6</v>
      </c>
      <c r="K148" s="70">
        <v>118</v>
      </c>
      <c r="L148" s="70">
        <f t="shared" si="4"/>
        <v>236</v>
      </c>
      <c r="M148" s="70">
        <v>11.3</v>
      </c>
    </row>
    <row r="149" spans="5:13" x14ac:dyDescent="0.3">
      <c r="E149" s="70">
        <v>119</v>
      </c>
      <c r="F149" s="70">
        <f t="shared" si="3"/>
        <v>595</v>
      </c>
      <c r="G149" s="70">
        <v>11.7</v>
      </c>
      <c r="K149" s="70">
        <v>119</v>
      </c>
      <c r="L149" s="70">
        <f t="shared" si="4"/>
        <v>238</v>
      </c>
      <c r="M149" s="70">
        <v>11.4</v>
      </c>
    </row>
    <row r="150" spans="5:13" x14ac:dyDescent="0.3">
      <c r="E150" s="70">
        <v>120</v>
      </c>
      <c r="F150" s="70">
        <f t="shared" si="3"/>
        <v>600</v>
      </c>
      <c r="G150" s="70">
        <v>11.8</v>
      </c>
      <c r="K150" s="70">
        <v>120</v>
      </c>
      <c r="L150" s="70">
        <f t="shared" si="4"/>
        <v>240</v>
      </c>
      <c r="M150" s="70">
        <v>11.5</v>
      </c>
    </row>
    <row r="151" spans="5:13" x14ac:dyDescent="0.3">
      <c r="E151" s="70">
        <v>121</v>
      </c>
      <c r="F151" s="70">
        <f t="shared" si="3"/>
        <v>605</v>
      </c>
      <c r="G151" s="70">
        <v>11.9</v>
      </c>
      <c r="K151" s="70">
        <v>121</v>
      </c>
      <c r="L151" s="70">
        <f t="shared" si="4"/>
        <v>242</v>
      </c>
      <c r="M151" s="70">
        <v>11.6</v>
      </c>
    </row>
    <row r="152" spans="5:13" x14ac:dyDescent="0.3">
      <c r="E152" s="70">
        <v>122</v>
      </c>
      <c r="F152" s="70">
        <f t="shared" si="3"/>
        <v>610</v>
      </c>
      <c r="G152" s="70">
        <v>12</v>
      </c>
      <c r="K152" s="70">
        <v>122</v>
      </c>
      <c r="L152" s="70">
        <f t="shared" si="4"/>
        <v>244</v>
      </c>
      <c r="M152" s="70">
        <v>11.7</v>
      </c>
    </row>
    <row r="153" spans="5:13" x14ac:dyDescent="0.3">
      <c r="E153" s="70">
        <v>123</v>
      </c>
      <c r="F153" s="70">
        <f t="shared" si="3"/>
        <v>615</v>
      </c>
      <c r="G153" s="70">
        <v>12.1</v>
      </c>
      <c r="K153" s="70">
        <v>123</v>
      </c>
      <c r="L153" s="70">
        <f t="shared" si="4"/>
        <v>246</v>
      </c>
      <c r="M153" s="70">
        <v>11.8</v>
      </c>
    </row>
    <row r="154" spans="5:13" x14ac:dyDescent="0.3">
      <c r="E154" s="70">
        <v>124</v>
      </c>
      <c r="F154" s="70">
        <f t="shared" si="3"/>
        <v>620</v>
      </c>
      <c r="G154" s="70">
        <v>12.2</v>
      </c>
      <c r="K154" s="70">
        <v>124</v>
      </c>
      <c r="L154" s="70">
        <f t="shared" si="4"/>
        <v>248</v>
      </c>
      <c r="M154" s="70">
        <v>11.9</v>
      </c>
    </row>
    <row r="155" spans="5:13" x14ac:dyDescent="0.3">
      <c r="E155" s="70">
        <v>125</v>
      </c>
      <c r="F155" s="70">
        <f t="shared" si="3"/>
        <v>625</v>
      </c>
      <c r="G155" s="70">
        <v>12.3</v>
      </c>
      <c r="K155" s="70">
        <v>125</v>
      </c>
      <c r="L155" s="70">
        <f t="shared" si="4"/>
        <v>250</v>
      </c>
      <c r="M155" s="70">
        <v>12</v>
      </c>
    </row>
    <row r="156" spans="5:13" x14ac:dyDescent="0.3">
      <c r="E156" s="70">
        <v>126</v>
      </c>
      <c r="F156" s="70">
        <f t="shared" si="3"/>
        <v>630</v>
      </c>
      <c r="G156" s="70">
        <v>12.4</v>
      </c>
      <c r="K156" s="70">
        <v>126</v>
      </c>
      <c r="L156" s="70">
        <f t="shared" si="4"/>
        <v>252</v>
      </c>
      <c r="M156" s="70">
        <v>12.1</v>
      </c>
    </row>
    <row r="157" spans="5:13" x14ac:dyDescent="0.3">
      <c r="E157" s="70">
        <v>127</v>
      </c>
      <c r="F157" s="70">
        <f t="shared" si="3"/>
        <v>635</v>
      </c>
      <c r="G157" s="70">
        <v>12.5</v>
      </c>
      <c r="K157" s="70">
        <v>127</v>
      </c>
      <c r="L157" s="70">
        <f t="shared" si="4"/>
        <v>254</v>
      </c>
      <c r="M157" s="70">
        <v>12.2</v>
      </c>
    </row>
    <row r="158" spans="5:13" x14ac:dyDescent="0.3">
      <c r="E158" s="70">
        <v>128</v>
      </c>
      <c r="F158" s="70">
        <f t="shared" si="3"/>
        <v>640</v>
      </c>
      <c r="G158" s="70">
        <v>12.6</v>
      </c>
      <c r="K158" s="70">
        <v>128</v>
      </c>
      <c r="L158" s="70">
        <f t="shared" si="4"/>
        <v>256</v>
      </c>
      <c r="M158" s="70">
        <v>12.3</v>
      </c>
    </row>
    <row r="159" spans="5:13" x14ac:dyDescent="0.3">
      <c r="E159" s="70">
        <v>129</v>
      </c>
      <c r="F159" s="70">
        <f t="shared" si="3"/>
        <v>645</v>
      </c>
      <c r="G159" s="70">
        <v>12.7</v>
      </c>
      <c r="K159" s="70">
        <v>129</v>
      </c>
      <c r="L159" s="70">
        <f t="shared" si="4"/>
        <v>258</v>
      </c>
      <c r="M159" s="70">
        <v>12.4</v>
      </c>
    </row>
    <row r="160" spans="5:13" x14ac:dyDescent="0.3">
      <c r="E160" s="70">
        <v>130</v>
      </c>
      <c r="F160" s="70">
        <f t="shared" si="3"/>
        <v>650</v>
      </c>
      <c r="G160" s="70">
        <v>12.8</v>
      </c>
      <c r="K160" s="70">
        <v>130</v>
      </c>
      <c r="L160" s="70">
        <f t="shared" si="4"/>
        <v>260</v>
      </c>
      <c r="M160" s="70">
        <v>12.5</v>
      </c>
    </row>
    <row r="161" spans="5:13" x14ac:dyDescent="0.3">
      <c r="E161" s="70">
        <v>131</v>
      </c>
      <c r="F161" s="70">
        <f t="shared" ref="F161:F224" si="5">+F160+$F$27</f>
        <v>655</v>
      </c>
      <c r="G161" s="70">
        <v>12.9</v>
      </c>
      <c r="K161" s="70">
        <v>131</v>
      </c>
      <c r="L161" s="70">
        <f t="shared" ref="L161:L224" si="6">+L160+$L$27</f>
        <v>262</v>
      </c>
      <c r="M161" s="70">
        <v>12.6</v>
      </c>
    </row>
    <row r="162" spans="5:13" x14ac:dyDescent="0.3">
      <c r="E162" s="70">
        <v>132</v>
      </c>
      <c r="F162" s="70">
        <f t="shared" si="5"/>
        <v>660</v>
      </c>
      <c r="G162" s="70">
        <v>13</v>
      </c>
      <c r="K162" s="70">
        <v>132</v>
      </c>
      <c r="L162" s="70">
        <f t="shared" si="6"/>
        <v>264</v>
      </c>
      <c r="M162" s="70">
        <v>12.7</v>
      </c>
    </row>
    <row r="163" spans="5:13" x14ac:dyDescent="0.3">
      <c r="E163" s="70">
        <v>133</v>
      </c>
      <c r="F163" s="70">
        <f t="shared" si="5"/>
        <v>665</v>
      </c>
      <c r="G163" s="70">
        <v>13.1</v>
      </c>
      <c r="K163" s="70">
        <v>133</v>
      </c>
      <c r="L163" s="70">
        <f t="shared" si="6"/>
        <v>266</v>
      </c>
      <c r="M163" s="70">
        <v>12.8</v>
      </c>
    </row>
    <row r="164" spans="5:13" x14ac:dyDescent="0.3">
      <c r="E164" s="70">
        <v>134</v>
      </c>
      <c r="F164" s="70">
        <f t="shared" si="5"/>
        <v>670</v>
      </c>
      <c r="G164" s="70">
        <v>13.2</v>
      </c>
      <c r="K164" s="70">
        <v>134</v>
      </c>
      <c r="L164" s="70">
        <f t="shared" si="6"/>
        <v>268</v>
      </c>
      <c r="M164" s="70">
        <v>12.9</v>
      </c>
    </row>
    <row r="165" spans="5:13" x14ac:dyDescent="0.3">
      <c r="E165" s="70">
        <v>135</v>
      </c>
      <c r="F165" s="70">
        <f t="shared" si="5"/>
        <v>675</v>
      </c>
      <c r="G165" s="70">
        <v>13.3</v>
      </c>
      <c r="K165" s="70">
        <v>135</v>
      </c>
      <c r="L165" s="70">
        <f t="shared" si="6"/>
        <v>270</v>
      </c>
      <c r="M165" s="70">
        <v>13</v>
      </c>
    </row>
    <row r="166" spans="5:13" x14ac:dyDescent="0.3">
      <c r="E166" s="70">
        <v>136</v>
      </c>
      <c r="F166" s="70">
        <f t="shared" si="5"/>
        <v>680</v>
      </c>
      <c r="G166" s="70">
        <v>13.4</v>
      </c>
      <c r="K166" s="70">
        <v>136</v>
      </c>
      <c r="L166" s="70">
        <f t="shared" si="6"/>
        <v>272</v>
      </c>
      <c r="M166" s="70">
        <v>13.1</v>
      </c>
    </row>
    <row r="167" spans="5:13" x14ac:dyDescent="0.3">
      <c r="E167" s="70">
        <v>137</v>
      </c>
      <c r="F167" s="70">
        <f t="shared" si="5"/>
        <v>685</v>
      </c>
      <c r="G167" s="70">
        <v>13.5</v>
      </c>
      <c r="K167" s="70">
        <v>137</v>
      </c>
      <c r="L167" s="70">
        <f t="shared" si="6"/>
        <v>274</v>
      </c>
      <c r="M167" s="70">
        <v>13.2</v>
      </c>
    </row>
    <row r="168" spans="5:13" x14ac:dyDescent="0.3">
      <c r="E168" s="70">
        <v>138</v>
      </c>
      <c r="F168" s="70">
        <f t="shared" si="5"/>
        <v>690</v>
      </c>
      <c r="G168" s="70">
        <v>13.6</v>
      </c>
      <c r="K168" s="70">
        <v>138</v>
      </c>
      <c r="L168" s="70">
        <f t="shared" si="6"/>
        <v>276</v>
      </c>
      <c r="M168" s="70">
        <v>13.3</v>
      </c>
    </row>
    <row r="169" spans="5:13" x14ac:dyDescent="0.3">
      <c r="E169" s="70">
        <v>139</v>
      </c>
      <c r="F169" s="70">
        <f t="shared" si="5"/>
        <v>695</v>
      </c>
      <c r="G169" s="70">
        <v>13.7</v>
      </c>
      <c r="K169" s="70">
        <v>139</v>
      </c>
      <c r="L169" s="70">
        <f t="shared" si="6"/>
        <v>278</v>
      </c>
      <c r="M169" s="70">
        <v>13.4</v>
      </c>
    </row>
    <row r="170" spans="5:13" x14ac:dyDescent="0.3">
      <c r="E170" s="70">
        <v>140</v>
      </c>
      <c r="F170" s="70">
        <f t="shared" si="5"/>
        <v>700</v>
      </c>
      <c r="G170" s="70">
        <v>13.8</v>
      </c>
      <c r="K170" s="70">
        <v>140</v>
      </c>
      <c r="L170" s="70">
        <f t="shared" si="6"/>
        <v>280</v>
      </c>
      <c r="M170" s="70">
        <v>13.5</v>
      </c>
    </row>
    <row r="171" spans="5:13" x14ac:dyDescent="0.3">
      <c r="E171" s="70">
        <v>141</v>
      </c>
      <c r="F171" s="70">
        <f t="shared" si="5"/>
        <v>705</v>
      </c>
      <c r="G171" s="70">
        <v>13.9</v>
      </c>
      <c r="K171" s="70">
        <v>141</v>
      </c>
      <c r="L171" s="70">
        <f t="shared" si="6"/>
        <v>282</v>
      </c>
      <c r="M171" s="70">
        <v>13.6</v>
      </c>
    </row>
    <row r="172" spans="5:13" x14ac:dyDescent="0.3">
      <c r="E172" s="70">
        <v>142</v>
      </c>
      <c r="F172" s="70">
        <f t="shared" si="5"/>
        <v>710</v>
      </c>
      <c r="G172" s="70">
        <v>14</v>
      </c>
      <c r="K172" s="70">
        <v>142</v>
      </c>
      <c r="L172" s="70">
        <f t="shared" si="6"/>
        <v>284</v>
      </c>
      <c r="M172" s="70">
        <v>13.7</v>
      </c>
    </row>
    <row r="173" spans="5:13" x14ac:dyDescent="0.3">
      <c r="E173" s="70">
        <v>143</v>
      </c>
      <c r="F173" s="70">
        <f t="shared" si="5"/>
        <v>715</v>
      </c>
      <c r="G173" s="70">
        <v>14.1</v>
      </c>
      <c r="K173" s="70">
        <v>143</v>
      </c>
      <c r="L173" s="70">
        <f t="shared" si="6"/>
        <v>286</v>
      </c>
      <c r="M173" s="70">
        <v>13.8</v>
      </c>
    </row>
    <row r="174" spans="5:13" x14ac:dyDescent="0.3">
      <c r="E174" s="70">
        <v>144</v>
      </c>
      <c r="F174" s="70">
        <f t="shared" si="5"/>
        <v>720</v>
      </c>
      <c r="G174" s="70">
        <v>14.2</v>
      </c>
      <c r="K174" s="70">
        <v>144</v>
      </c>
      <c r="L174" s="70">
        <f t="shared" si="6"/>
        <v>288</v>
      </c>
      <c r="M174" s="70">
        <v>13.9</v>
      </c>
    </row>
    <row r="175" spans="5:13" x14ac:dyDescent="0.3">
      <c r="E175" s="70">
        <v>145</v>
      </c>
      <c r="F175" s="70">
        <f t="shared" si="5"/>
        <v>725</v>
      </c>
      <c r="G175" s="70">
        <v>14.3</v>
      </c>
      <c r="K175" s="70">
        <v>145</v>
      </c>
      <c r="L175" s="70">
        <f t="shared" si="6"/>
        <v>290</v>
      </c>
      <c r="M175" s="70">
        <v>14</v>
      </c>
    </row>
    <row r="176" spans="5:13" x14ac:dyDescent="0.3">
      <c r="E176" s="70">
        <v>146</v>
      </c>
      <c r="F176" s="70">
        <f t="shared" si="5"/>
        <v>730</v>
      </c>
      <c r="G176" s="70">
        <v>14.4</v>
      </c>
      <c r="K176" s="70">
        <v>146</v>
      </c>
      <c r="L176" s="70">
        <f t="shared" si="6"/>
        <v>292</v>
      </c>
      <c r="M176" s="70">
        <v>14.1</v>
      </c>
    </row>
    <row r="177" spans="5:13" x14ac:dyDescent="0.3">
      <c r="E177" s="70">
        <v>147</v>
      </c>
      <c r="F177" s="70">
        <f t="shared" si="5"/>
        <v>735</v>
      </c>
      <c r="G177" s="70">
        <v>14.5</v>
      </c>
      <c r="K177" s="70">
        <v>147</v>
      </c>
      <c r="L177" s="70">
        <f t="shared" si="6"/>
        <v>294</v>
      </c>
      <c r="M177" s="70">
        <v>14.2</v>
      </c>
    </row>
    <row r="178" spans="5:13" x14ac:dyDescent="0.3">
      <c r="E178" s="70">
        <v>148</v>
      </c>
      <c r="F178" s="70">
        <f t="shared" si="5"/>
        <v>740</v>
      </c>
      <c r="G178" s="70">
        <v>14.6</v>
      </c>
      <c r="K178" s="70">
        <v>148</v>
      </c>
      <c r="L178" s="70">
        <f t="shared" si="6"/>
        <v>296</v>
      </c>
      <c r="M178" s="70">
        <v>14.3</v>
      </c>
    </row>
    <row r="179" spans="5:13" x14ac:dyDescent="0.3">
      <c r="E179" s="70">
        <v>149</v>
      </c>
      <c r="F179" s="70">
        <f t="shared" si="5"/>
        <v>745</v>
      </c>
      <c r="G179" s="70">
        <v>14.7</v>
      </c>
      <c r="K179" s="70">
        <v>149</v>
      </c>
      <c r="L179" s="70">
        <f t="shared" si="6"/>
        <v>298</v>
      </c>
      <c r="M179" s="70">
        <v>14.4</v>
      </c>
    </row>
    <row r="180" spans="5:13" x14ac:dyDescent="0.3">
      <c r="E180" s="70">
        <v>150</v>
      </c>
      <c r="F180" s="70">
        <f t="shared" si="5"/>
        <v>750</v>
      </c>
      <c r="G180" s="70">
        <v>14.8</v>
      </c>
      <c r="K180" s="70">
        <v>150</v>
      </c>
      <c r="L180" s="70">
        <f t="shared" si="6"/>
        <v>300</v>
      </c>
      <c r="M180" s="70">
        <v>14.5</v>
      </c>
    </row>
    <row r="181" spans="5:13" x14ac:dyDescent="0.3">
      <c r="E181" s="70">
        <v>151</v>
      </c>
      <c r="F181" s="70">
        <f t="shared" si="5"/>
        <v>755</v>
      </c>
      <c r="G181" s="70">
        <v>14.9</v>
      </c>
      <c r="K181" s="70">
        <v>151</v>
      </c>
      <c r="L181" s="70">
        <f t="shared" si="6"/>
        <v>302</v>
      </c>
      <c r="M181" s="70">
        <v>14.6</v>
      </c>
    </row>
    <row r="182" spans="5:13" x14ac:dyDescent="0.3">
      <c r="E182" s="70">
        <v>152</v>
      </c>
      <c r="F182" s="70">
        <f t="shared" si="5"/>
        <v>760</v>
      </c>
      <c r="G182" s="70">
        <v>15</v>
      </c>
      <c r="K182" s="70">
        <v>152</v>
      </c>
      <c r="L182" s="70">
        <f t="shared" si="6"/>
        <v>304</v>
      </c>
      <c r="M182" s="70">
        <v>14.7</v>
      </c>
    </row>
    <row r="183" spans="5:13" x14ac:dyDescent="0.3">
      <c r="E183" s="70">
        <v>153</v>
      </c>
      <c r="F183" s="70">
        <f t="shared" si="5"/>
        <v>765</v>
      </c>
      <c r="G183" s="70">
        <v>15.1</v>
      </c>
      <c r="K183" s="70">
        <v>153</v>
      </c>
      <c r="L183" s="70">
        <f t="shared" si="6"/>
        <v>306</v>
      </c>
      <c r="M183" s="70">
        <v>14.8</v>
      </c>
    </row>
    <row r="184" spans="5:13" x14ac:dyDescent="0.3">
      <c r="E184" s="70">
        <v>154</v>
      </c>
      <c r="F184" s="70">
        <f t="shared" si="5"/>
        <v>770</v>
      </c>
      <c r="G184" s="70">
        <v>15.2</v>
      </c>
      <c r="K184" s="70">
        <v>154</v>
      </c>
      <c r="L184" s="70">
        <f t="shared" si="6"/>
        <v>308</v>
      </c>
      <c r="M184" s="70">
        <v>14.9</v>
      </c>
    </row>
    <row r="185" spans="5:13" x14ac:dyDescent="0.3">
      <c r="E185" s="70">
        <v>155</v>
      </c>
      <c r="F185" s="70">
        <f t="shared" si="5"/>
        <v>775</v>
      </c>
      <c r="G185" s="70">
        <v>15.3</v>
      </c>
      <c r="K185" s="70">
        <v>155</v>
      </c>
      <c r="L185" s="70">
        <f t="shared" si="6"/>
        <v>310</v>
      </c>
      <c r="M185" s="70">
        <v>15</v>
      </c>
    </row>
    <row r="186" spans="5:13" x14ac:dyDescent="0.3">
      <c r="E186" s="70">
        <v>156</v>
      </c>
      <c r="F186" s="70">
        <f t="shared" si="5"/>
        <v>780</v>
      </c>
      <c r="G186" s="70">
        <v>15.4</v>
      </c>
      <c r="K186" s="70">
        <v>156</v>
      </c>
      <c r="L186" s="70">
        <f t="shared" si="6"/>
        <v>312</v>
      </c>
      <c r="M186" s="70">
        <v>15.1</v>
      </c>
    </row>
    <row r="187" spans="5:13" x14ac:dyDescent="0.3">
      <c r="E187" s="70">
        <v>157</v>
      </c>
      <c r="F187" s="70">
        <f t="shared" si="5"/>
        <v>785</v>
      </c>
      <c r="G187" s="70">
        <v>15.5</v>
      </c>
      <c r="K187" s="70">
        <v>157</v>
      </c>
      <c r="L187" s="70">
        <f t="shared" si="6"/>
        <v>314</v>
      </c>
      <c r="M187" s="70">
        <v>15.2</v>
      </c>
    </row>
    <row r="188" spans="5:13" x14ac:dyDescent="0.3">
      <c r="E188" s="70">
        <v>158</v>
      </c>
      <c r="F188" s="70">
        <f t="shared" si="5"/>
        <v>790</v>
      </c>
      <c r="G188" s="70">
        <v>15.6</v>
      </c>
      <c r="K188" s="70">
        <v>158</v>
      </c>
      <c r="L188" s="70">
        <f t="shared" si="6"/>
        <v>316</v>
      </c>
      <c r="M188" s="70">
        <v>15.3</v>
      </c>
    </row>
    <row r="189" spans="5:13" x14ac:dyDescent="0.3">
      <c r="E189" s="70">
        <v>159</v>
      </c>
      <c r="F189" s="70">
        <f t="shared" si="5"/>
        <v>795</v>
      </c>
      <c r="G189" s="70">
        <v>15.7</v>
      </c>
      <c r="K189" s="70">
        <v>159</v>
      </c>
      <c r="L189" s="70">
        <f t="shared" si="6"/>
        <v>318</v>
      </c>
      <c r="M189" s="70">
        <v>15.4</v>
      </c>
    </row>
    <row r="190" spans="5:13" x14ac:dyDescent="0.3">
      <c r="E190" s="70">
        <v>160</v>
      </c>
      <c r="F190" s="70">
        <f t="shared" si="5"/>
        <v>800</v>
      </c>
      <c r="G190" s="70">
        <v>15.8</v>
      </c>
      <c r="K190" s="70">
        <v>160</v>
      </c>
      <c r="L190" s="70">
        <f t="shared" si="6"/>
        <v>320</v>
      </c>
      <c r="M190" s="70">
        <v>15.5</v>
      </c>
    </row>
    <row r="191" spans="5:13" x14ac:dyDescent="0.3">
      <c r="E191" s="70">
        <v>161</v>
      </c>
      <c r="F191" s="70">
        <f t="shared" si="5"/>
        <v>805</v>
      </c>
      <c r="G191" s="70">
        <v>15.9</v>
      </c>
      <c r="K191" s="70">
        <v>161</v>
      </c>
      <c r="L191" s="70">
        <f t="shared" si="6"/>
        <v>322</v>
      </c>
      <c r="M191" s="70">
        <v>15.6</v>
      </c>
    </row>
    <row r="192" spans="5:13" x14ac:dyDescent="0.3">
      <c r="E192" s="70">
        <v>162</v>
      </c>
      <c r="F192" s="70">
        <f t="shared" si="5"/>
        <v>810</v>
      </c>
      <c r="G192" s="70">
        <v>16</v>
      </c>
      <c r="K192" s="70">
        <v>162</v>
      </c>
      <c r="L192" s="70">
        <f t="shared" si="6"/>
        <v>324</v>
      </c>
      <c r="M192" s="70">
        <v>15.7</v>
      </c>
    </row>
    <row r="193" spans="5:13" x14ac:dyDescent="0.3">
      <c r="E193" s="70">
        <v>163</v>
      </c>
      <c r="F193" s="70">
        <f t="shared" si="5"/>
        <v>815</v>
      </c>
      <c r="G193" s="70">
        <v>16.100000000000001</v>
      </c>
      <c r="K193" s="70">
        <v>163</v>
      </c>
      <c r="L193" s="70">
        <f t="shared" si="6"/>
        <v>326</v>
      </c>
      <c r="M193" s="70">
        <v>15.8</v>
      </c>
    </row>
    <row r="194" spans="5:13" x14ac:dyDescent="0.3">
      <c r="E194" s="70">
        <v>164</v>
      </c>
      <c r="F194" s="70">
        <f t="shared" si="5"/>
        <v>820</v>
      </c>
      <c r="G194" s="70">
        <v>16.2</v>
      </c>
      <c r="K194" s="70">
        <v>164</v>
      </c>
      <c r="L194" s="70">
        <f t="shared" si="6"/>
        <v>328</v>
      </c>
      <c r="M194" s="70">
        <v>15.9</v>
      </c>
    </row>
    <row r="195" spans="5:13" x14ac:dyDescent="0.3">
      <c r="E195" s="70">
        <v>165</v>
      </c>
      <c r="F195" s="70">
        <f t="shared" si="5"/>
        <v>825</v>
      </c>
      <c r="G195" s="70">
        <v>16.3</v>
      </c>
      <c r="K195" s="70">
        <v>165</v>
      </c>
      <c r="L195" s="70">
        <f t="shared" si="6"/>
        <v>330</v>
      </c>
      <c r="M195" s="70">
        <v>16</v>
      </c>
    </row>
    <row r="196" spans="5:13" x14ac:dyDescent="0.3">
      <c r="E196" s="70">
        <v>166</v>
      </c>
      <c r="F196" s="70">
        <f t="shared" si="5"/>
        <v>830</v>
      </c>
      <c r="G196" s="70">
        <v>16.399999999999999</v>
      </c>
      <c r="K196" s="70">
        <v>166</v>
      </c>
      <c r="L196" s="70">
        <f t="shared" si="6"/>
        <v>332</v>
      </c>
      <c r="M196" s="70">
        <v>16.100000000000001</v>
      </c>
    </row>
    <row r="197" spans="5:13" x14ac:dyDescent="0.3">
      <c r="E197" s="70">
        <v>167</v>
      </c>
      <c r="F197" s="70">
        <f t="shared" si="5"/>
        <v>835</v>
      </c>
      <c r="G197" s="70">
        <v>16.5</v>
      </c>
      <c r="K197" s="70">
        <v>167</v>
      </c>
      <c r="L197" s="70">
        <f t="shared" si="6"/>
        <v>334</v>
      </c>
      <c r="M197" s="70">
        <v>16.2</v>
      </c>
    </row>
    <row r="198" spans="5:13" x14ac:dyDescent="0.3">
      <c r="E198" s="70">
        <v>168</v>
      </c>
      <c r="F198" s="70">
        <f t="shared" si="5"/>
        <v>840</v>
      </c>
      <c r="G198" s="70">
        <v>16.600000000000001</v>
      </c>
      <c r="K198" s="70">
        <v>168</v>
      </c>
      <c r="L198" s="70">
        <f t="shared" si="6"/>
        <v>336</v>
      </c>
      <c r="M198" s="70">
        <v>16.3</v>
      </c>
    </row>
    <row r="199" spans="5:13" x14ac:dyDescent="0.3">
      <c r="E199" s="70">
        <v>169</v>
      </c>
      <c r="F199" s="70">
        <f t="shared" si="5"/>
        <v>845</v>
      </c>
      <c r="G199" s="70">
        <v>16.6999999999999</v>
      </c>
      <c r="K199" s="70">
        <v>169</v>
      </c>
      <c r="L199" s="70">
        <f t="shared" si="6"/>
        <v>338</v>
      </c>
      <c r="M199" s="70">
        <v>16.399999999999999</v>
      </c>
    </row>
    <row r="200" spans="5:13" x14ac:dyDescent="0.3">
      <c r="E200" s="70">
        <v>170</v>
      </c>
      <c r="F200" s="70">
        <f t="shared" si="5"/>
        <v>850</v>
      </c>
      <c r="G200" s="70">
        <v>16.8</v>
      </c>
      <c r="K200" s="70">
        <v>170</v>
      </c>
      <c r="L200" s="70">
        <f t="shared" si="6"/>
        <v>340</v>
      </c>
      <c r="M200" s="70">
        <v>16.5</v>
      </c>
    </row>
    <row r="201" spans="5:13" x14ac:dyDescent="0.3">
      <c r="E201" s="70">
        <v>171</v>
      </c>
      <c r="F201" s="70">
        <f t="shared" si="5"/>
        <v>855</v>
      </c>
      <c r="G201" s="70">
        <v>16.899999999999899</v>
      </c>
      <c r="K201" s="70">
        <v>171</v>
      </c>
      <c r="L201" s="70">
        <f t="shared" si="6"/>
        <v>342</v>
      </c>
      <c r="M201" s="70">
        <v>16.600000000000001</v>
      </c>
    </row>
    <row r="202" spans="5:13" x14ac:dyDescent="0.3">
      <c r="E202" s="70">
        <v>172</v>
      </c>
      <c r="F202" s="70">
        <f t="shared" si="5"/>
        <v>860</v>
      </c>
      <c r="G202" s="70">
        <v>17</v>
      </c>
      <c r="K202" s="70">
        <v>172</v>
      </c>
      <c r="L202" s="70">
        <f t="shared" si="6"/>
        <v>344</v>
      </c>
      <c r="M202" s="70">
        <v>16.7</v>
      </c>
    </row>
    <row r="203" spans="5:13" x14ac:dyDescent="0.3">
      <c r="E203" s="70">
        <v>173</v>
      </c>
      <c r="F203" s="70">
        <f t="shared" si="5"/>
        <v>865</v>
      </c>
      <c r="G203" s="70">
        <v>17.100000000000001</v>
      </c>
      <c r="K203" s="70">
        <v>173</v>
      </c>
      <c r="L203" s="70">
        <f t="shared" si="6"/>
        <v>346</v>
      </c>
      <c r="M203" s="70">
        <v>16.8</v>
      </c>
    </row>
    <row r="204" spans="5:13" x14ac:dyDescent="0.3">
      <c r="E204" s="70">
        <v>174</v>
      </c>
      <c r="F204" s="70">
        <f t="shared" si="5"/>
        <v>870</v>
      </c>
      <c r="G204" s="70">
        <v>17.1999999999999</v>
      </c>
      <c r="K204" s="70">
        <v>174</v>
      </c>
      <c r="L204" s="70">
        <f t="shared" si="6"/>
        <v>348</v>
      </c>
      <c r="M204" s="70">
        <v>16.899999999999999</v>
      </c>
    </row>
    <row r="205" spans="5:13" x14ac:dyDescent="0.3">
      <c r="E205" s="70">
        <v>175</v>
      </c>
      <c r="F205" s="70">
        <f t="shared" si="5"/>
        <v>875</v>
      </c>
      <c r="G205" s="70">
        <v>17.3</v>
      </c>
      <c r="K205" s="70">
        <v>175</v>
      </c>
      <c r="L205" s="70">
        <f t="shared" si="6"/>
        <v>350</v>
      </c>
      <c r="M205" s="70">
        <v>17</v>
      </c>
    </row>
    <row r="206" spans="5:13" x14ac:dyDescent="0.3">
      <c r="E206" s="70">
        <v>176</v>
      </c>
      <c r="F206" s="70">
        <f t="shared" si="5"/>
        <v>880</v>
      </c>
      <c r="G206" s="70">
        <v>17.399999999999899</v>
      </c>
      <c r="K206" s="70">
        <v>176</v>
      </c>
      <c r="L206" s="70">
        <f t="shared" si="6"/>
        <v>352</v>
      </c>
      <c r="M206" s="70">
        <v>17.100000000000001</v>
      </c>
    </row>
    <row r="207" spans="5:13" x14ac:dyDescent="0.3">
      <c r="E207" s="70">
        <v>177</v>
      </c>
      <c r="F207" s="70">
        <f t="shared" si="5"/>
        <v>885</v>
      </c>
      <c r="G207" s="70">
        <v>17.5</v>
      </c>
      <c r="K207" s="70">
        <v>177</v>
      </c>
      <c r="L207" s="70">
        <f t="shared" si="6"/>
        <v>354</v>
      </c>
      <c r="M207" s="70">
        <v>17.2</v>
      </c>
    </row>
    <row r="208" spans="5:13" x14ac:dyDescent="0.3">
      <c r="E208" s="70">
        <v>178</v>
      </c>
      <c r="F208" s="70">
        <f t="shared" si="5"/>
        <v>890</v>
      </c>
      <c r="G208" s="70">
        <v>17.600000000000001</v>
      </c>
      <c r="K208" s="70">
        <v>178</v>
      </c>
      <c r="L208" s="70">
        <f t="shared" si="6"/>
        <v>356</v>
      </c>
      <c r="M208" s="70">
        <v>17.3</v>
      </c>
    </row>
    <row r="209" spans="5:13" x14ac:dyDescent="0.3">
      <c r="E209" s="70">
        <v>179</v>
      </c>
      <c r="F209" s="70">
        <f t="shared" si="5"/>
        <v>895</v>
      </c>
      <c r="G209" s="70">
        <v>17.7</v>
      </c>
      <c r="K209" s="70">
        <v>179</v>
      </c>
      <c r="L209" s="70">
        <f t="shared" si="6"/>
        <v>358</v>
      </c>
      <c r="M209" s="70">
        <v>17.399999999999999</v>
      </c>
    </row>
    <row r="210" spans="5:13" x14ac:dyDescent="0.3">
      <c r="E210" s="70">
        <v>180</v>
      </c>
      <c r="F210" s="70">
        <f t="shared" si="5"/>
        <v>900</v>
      </c>
      <c r="G210" s="70">
        <v>17.8</v>
      </c>
      <c r="K210" s="70">
        <v>180</v>
      </c>
      <c r="L210" s="70">
        <f t="shared" si="6"/>
        <v>360</v>
      </c>
      <c r="M210" s="70">
        <v>17.5</v>
      </c>
    </row>
    <row r="211" spans="5:13" x14ac:dyDescent="0.3">
      <c r="E211" s="70">
        <v>181</v>
      </c>
      <c r="F211" s="70">
        <f t="shared" si="5"/>
        <v>905</v>
      </c>
      <c r="G211" s="70">
        <v>17.899999999999899</v>
      </c>
      <c r="K211" s="70">
        <v>181</v>
      </c>
      <c r="L211" s="70">
        <f t="shared" si="6"/>
        <v>362</v>
      </c>
      <c r="M211" s="70">
        <v>17.600000000000001</v>
      </c>
    </row>
    <row r="212" spans="5:13" x14ac:dyDescent="0.3">
      <c r="E212" s="70">
        <v>182</v>
      </c>
      <c r="F212" s="70">
        <f t="shared" si="5"/>
        <v>910</v>
      </c>
      <c r="G212" s="70">
        <v>18</v>
      </c>
      <c r="K212" s="70">
        <v>182</v>
      </c>
      <c r="L212" s="70">
        <f t="shared" si="6"/>
        <v>364</v>
      </c>
      <c r="M212" s="70">
        <v>17.7</v>
      </c>
    </row>
    <row r="213" spans="5:13" x14ac:dyDescent="0.3">
      <c r="E213" s="70">
        <v>183</v>
      </c>
      <c r="F213" s="70">
        <f t="shared" si="5"/>
        <v>915</v>
      </c>
      <c r="G213" s="70">
        <v>18.100000000000001</v>
      </c>
      <c r="K213" s="70">
        <v>183</v>
      </c>
      <c r="L213" s="70">
        <f t="shared" si="6"/>
        <v>366</v>
      </c>
      <c r="M213" s="70">
        <v>17.8</v>
      </c>
    </row>
    <row r="214" spans="5:13" x14ac:dyDescent="0.3">
      <c r="E214" s="70">
        <v>184</v>
      </c>
      <c r="F214" s="70">
        <f t="shared" si="5"/>
        <v>920</v>
      </c>
      <c r="G214" s="70">
        <v>18.2</v>
      </c>
      <c r="K214" s="70">
        <v>184</v>
      </c>
      <c r="L214" s="70">
        <f t="shared" si="6"/>
        <v>368</v>
      </c>
      <c r="M214" s="70">
        <v>17.899999999999999</v>
      </c>
    </row>
    <row r="215" spans="5:13" x14ac:dyDescent="0.3">
      <c r="E215" s="70">
        <v>185</v>
      </c>
      <c r="F215" s="70">
        <f t="shared" si="5"/>
        <v>925</v>
      </c>
      <c r="G215" s="70">
        <v>18.3</v>
      </c>
      <c r="K215" s="70">
        <v>185</v>
      </c>
      <c r="L215" s="70">
        <f t="shared" si="6"/>
        <v>370</v>
      </c>
      <c r="M215" s="70">
        <v>18</v>
      </c>
    </row>
    <row r="216" spans="5:13" x14ac:dyDescent="0.3">
      <c r="E216" s="70">
        <v>186</v>
      </c>
      <c r="F216" s="70">
        <f t="shared" si="5"/>
        <v>930</v>
      </c>
      <c r="G216" s="70">
        <v>18.399999999999899</v>
      </c>
      <c r="K216" s="70">
        <v>186</v>
      </c>
      <c r="L216" s="70">
        <f t="shared" si="6"/>
        <v>372</v>
      </c>
      <c r="M216" s="70">
        <v>18.100000000000001</v>
      </c>
    </row>
    <row r="217" spans="5:13" x14ac:dyDescent="0.3">
      <c r="E217" s="70">
        <v>187</v>
      </c>
      <c r="F217" s="70">
        <f t="shared" si="5"/>
        <v>935</v>
      </c>
      <c r="G217" s="70">
        <v>18.5</v>
      </c>
      <c r="K217" s="70">
        <v>187</v>
      </c>
      <c r="L217" s="70">
        <f t="shared" si="6"/>
        <v>374</v>
      </c>
      <c r="M217" s="70">
        <v>18.2</v>
      </c>
    </row>
    <row r="218" spans="5:13" x14ac:dyDescent="0.3">
      <c r="E218" s="70">
        <v>188</v>
      </c>
      <c r="F218" s="70">
        <f t="shared" si="5"/>
        <v>940</v>
      </c>
      <c r="G218" s="70">
        <v>18.600000000000001</v>
      </c>
      <c r="K218" s="70">
        <v>188</v>
      </c>
      <c r="L218" s="70">
        <f t="shared" si="6"/>
        <v>376</v>
      </c>
      <c r="M218" s="70">
        <v>18.3</v>
      </c>
    </row>
    <row r="219" spans="5:13" x14ac:dyDescent="0.3">
      <c r="E219" s="70">
        <v>189</v>
      </c>
      <c r="F219" s="70">
        <f t="shared" si="5"/>
        <v>945</v>
      </c>
      <c r="G219" s="70">
        <v>18.7</v>
      </c>
      <c r="K219" s="70">
        <v>189</v>
      </c>
      <c r="L219" s="70">
        <f t="shared" si="6"/>
        <v>378</v>
      </c>
      <c r="M219" s="70">
        <v>18.399999999999999</v>
      </c>
    </row>
    <row r="220" spans="5:13" x14ac:dyDescent="0.3">
      <c r="E220" s="70">
        <v>190</v>
      </c>
      <c r="F220" s="70">
        <f t="shared" si="5"/>
        <v>950</v>
      </c>
      <c r="G220" s="70">
        <v>18.8</v>
      </c>
      <c r="K220" s="70">
        <v>190</v>
      </c>
      <c r="L220" s="70">
        <f t="shared" si="6"/>
        <v>380</v>
      </c>
      <c r="M220" s="70">
        <v>18.5</v>
      </c>
    </row>
    <row r="221" spans="5:13" x14ac:dyDescent="0.3">
      <c r="E221" s="70">
        <v>191</v>
      </c>
      <c r="F221" s="70">
        <f t="shared" si="5"/>
        <v>955</v>
      </c>
      <c r="G221" s="70">
        <v>18.899999999999899</v>
      </c>
      <c r="K221" s="70">
        <v>191</v>
      </c>
      <c r="L221" s="70">
        <f t="shared" si="6"/>
        <v>382</v>
      </c>
      <c r="M221" s="70">
        <v>18.600000000000001</v>
      </c>
    </row>
    <row r="222" spans="5:13" x14ac:dyDescent="0.3">
      <c r="E222" s="70">
        <v>192</v>
      </c>
      <c r="F222" s="70">
        <f t="shared" si="5"/>
        <v>960</v>
      </c>
      <c r="G222" s="70">
        <v>19</v>
      </c>
      <c r="K222" s="70">
        <v>192</v>
      </c>
      <c r="L222" s="70">
        <f t="shared" si="6"/>
        <v>384</v>
      </c>
      <c r="M222" s="70">
        <v>18.7</v>
      </c>
    </row>
    <row r="223" spans="5:13" x14ac:dyDescent="0.3">
      <c r="E223" s="70">
        <v>193</v>
      </c>
      <c r="F223" s="70">
        <f t="shared" si="5"/>
        <v>965</v>
      </c>
      <c r="G223" s="70">
        <v>19.100000000000001</v>
      </c>
      <c r="K223" s="70">
        <v>193</v>
      </c>
      <c r="L223" s="70">
        <f t="shared" si="6"/>
        <v>386</v>
      </c>
      <c r="M223" s="70">
        <v>18.8</v>
      </c>
    </row>
    <row r="224" spans="5:13" x14ac:dyDescent="0.3">
      <c r="E224" s="70">
        <v>194</v>
      </c>
      <c r="F224" s="70">
        <f t="shared" si="5"/>
        <v>970</v>
      </c>
      <c r="G224" s="70">
        <v>19.2</v>
      </c>
      <c r="K224" s="70">
        <v>194</v>
      </c>
      <c r="L224" s="70">
        <f t="shared" si="6"/>
        <v>388</v>
      </c>
      <c r="M224" s="70">
        <v>18.899999999999999</v>
      </c>
    </row>
    <row r="225" spans="5:13" x14ac:dyDescent="0.3">
      <c r="E225" s="70">
        <v>195</v>
      </c>
      <c r="F225" s="70">
        <f t="shared" ref="F225:F288" si="7">+F224+$F$27</f>
        <v>975</v>
      </c>
      <c r="G225" s="70">
        <v>19.299999999999901</v>
      </c>
      <c r="K225" s="70">
        <v>195</v>
      </c>
      <c r="L225" s="70">
        <f t="shared" ref="L225:L288" si="8">+L224+$L$27</f>
        <v>390</v>
      </c>
      <c r="M225" s="70">
        <v>19</v>
      </c>
    </row>
    <row r="226" spans="5:13" x14ac:dyDescent="0.3">
      <c r="E226" s="70">
        <v>196</v>
      </c>
      <c r="F226" s="70">
        <f t="shared" si="7"/>
        <v>980</v>
      </c>
      <c r="G226" s="70">
        <v>19.399999999999899</v>
      </c>
      <c r="K226" s="70">
        <v>196</v>
      </c>
      <c r="L226" s="70">
        <f t="shared" si="8"/>
        <v>392</v>
      </c>
      <c r="M226" s="70">
        <v>19.100000000000001</v>
      </c>
    </row>
    <row r="227" spans="5:13" x14ac:dyDescent="0.3">
      <c r="E227" s="70">
        <v>197</v>
      </c>
      <c r="F227" s="70">
        <f t="shared" si="7"/>
        <v>985</v>
      </c>
      <c r="G227" s="70">
        <v>19.5</v>
      </c>
      <c r="K227" s="70">
        <v>197</v>
      </c>
      <c r="L227" s="70">
        <f t="shared" si="8"/>
        <v>394</v>
      </c>
      <c r="M227" s="70">
        <v>19.2</v>
      </c>
    </row>
    <row r="228" spans="5:13" x14ac:dyDescent="0.3">
      <c r="E228" s="70">
        <v>198</v>
      </c>
      <c r="F228" s="70">
        <f t="shared" si="7"/>
        <v>990</v>
      </c>
      <c r="G228" s="70">
        <v>19.600000000000001</v>
      </c>
      <c r="K228" s="70">
        <v>198</v>
      </c>
      <c r="L228" s="70">
        <f t="shared" si="8"/>
        <v>396</v>
      </c>
      <c r="M228" s="70">
        <v>19.3</v>
      </c>
    </row>
    <row r="229" spans="5:13" x14ac:dyDescent="0.3">
      <c r="E229" s="70">
        <v>199</v>
      </c>
      <c r="F229" s="70">
        <f t="shared" si="7"/>
        <v>995</v>
      </c>
      <c r="G229" s="70">
        <v>19.7</v>
      </c>
      <c r="K229" s="70">
        <v>199</v>
      </c>
      <c r="L229" s="70">
        <f t="shared" si="8"/>
        <v>398</v>
      </c>
      <c r="M229" s="70">
        <v>19.399999999999999</v>
      </c>
    </row>
    <row r="230" spans="5:13" x14ac:dyDescent="0.3">
      <c r="E230" s="70">
        <v>200</v>
      </c>
      <c r="F230" s="70">
        <f t="shared" si="7"/>
        <v>1000</v>
      </c>
      <c r="G230" s="70">
        <v>19.8</v>
      </c>
      <c r="K230" s="70">
        <v>200</v>
      </c>
      <c r="L230" s="70">
        <f t="shared" si="8"/>
        <v>400</v>
      </c>
      <c r="M230" s="70">
        <v>19.5</v>
      </c>
    </row>
    <row r="231" spans="5:13" x14ac:dyDescent="0.3">
      <c r="E231" s="70">
        <v>201</v>
      </c>
      <c r="F231" s="70">
        <f t="shared" si="7"/>
        <v>1005</v>
      </c>
      <c r="G231" s="70">
        <v>19.899999999999999</v>
      </c>
      <c r="K231" s="70">
        <v>201</v>
      </c>
      <c r="L231" s="70">
        <f t="shared" si="8"/>
        <v>402</v>
      </c>
      <c r="M231" s="70">
        <v>19.600000000000001</v>
      </c>
    </row>
    <row r="232" spans="5:13" x14ac:dyDescent="0.3">
      <c r="E232" s="70">
        <v>202</v>
      </c>
      <c r="F232" s="70">
        <f t="shared" si="7"/>
        <v>1010</v>
      </c>
      <c r="G232" s="70">
        <v>20</v>
      </c>
      <c r="K232" s="70">
        <v>202</v>
      </c>
      <c r="L232" s="70">
        <f t="shared" si="8"/>
        <v>404</v>
      </c>
      <c r="M232" s="70">
        <v>19.7</v>
      </c>
    </row>
    <row r="233" spans="5:13" x14ac:dyDescent="0.3">
      <c r="E233" s="70">
        <v>203</v>
      </c>
      <c r="F233" s="70">
        <f t="shared" si="7"/>
        <v>1015</v>
      </c>
      <c r="G233" s="70">
        <v>20.100000000000001</v>
      </c>
      <c r="K233" s="70">
        <v>203</v>
      </c>
      <c r="L233" s="70">
        <f t="shared" si="8"/>
        <v>406</v>
      </c>
      <c r="M233" s="70">
        <v>19.8</v>
      </c>
    </row>
    <row r="234" spans="5:13" x14ac:dyDescent="0.3">
      <c r="E234" s="70">
        <v>204</v>
      </c>
      <c r="F234" s="70">
        <f t="shared" si="7"/>
        <v>1020</v>
      </c>
      <c r="G234" s="70">
        <v>20.2</v>
      </c>
      <c r="K234" s="70">
        <v>204</v>
      </c>
      <c r="L234" s="70">
        <f t="shared" si="8"/>
        <v>408</v>
      </c>
      <c r="M234" s="70">
        <v>19.899999999999999</v>
      </c>
    </row>
    <row r="235" spans="5:13" x14ac:dyDescent="0.3">
      <c r="E235" s="70">
        <v>205</v>
      </c>
      <c r="F235" s="70">
        <f t="shared" si="7"/>
        <v>1025</v>
      </c>
      <c r="G235" s="70">
        <v>20.3</v>
      </c>
      <c r="K235" s="70">
        <v>205</v>
      </c>
      <c r="L235" s="70">
        <f t="shared" si="8"/>
        <v>410</v>
      </c>
      <c r="M235" s="70">
        <v>20</v>
      </c>
    </row>
    <row r="236" spans="5:13" x14ac:dyDescent="0.3">
      <c r="E236" s="70">
        <v>206</v>
      </c>
      <c r="F236" s="70">
        <f t="shared" si="7"/>
        <v>1030</v>
      </c>
      <c r="G236" s="70">
        <v>20.399999999999999</v>
      </c>
      <c r="K236" s="70">
        <v>206</v>
      </c>
      <c r="L236" s="70">
        <f t="shared" si="8"/>
        <v>412</v>
      </c>
      <c r="M236" s="70">
        <v>20.100000000000001</v>
      </c>
    </row>
    <row r="237" spans="5:13" x14ac:dyDescent="0.3">
      <c r="E237" s="70">
        <v>207</v>
      </c>
      <c r="F237" s="70">
        <f t="shared" si="7"/>
        <v>1035</v>
      </c>
      <c r="G237" s="70">
        <v>20.5</v>
      </c>
      <c r="K237" s="70">
        <v>207</v>
      </c>
      <c r="L237" s="70">
        <f t="shared" si="8"/>
        <v>414</v>
      </c>
      <c r="M237" s="70">
        <v>20.2</v>
      </c>
    </row>
    <row r="238" spans="5:13" x14ac:dyDescent="0.3">
      <c r="E238" s="70">
        <v>208</v>
      </c>
      <c r="F238" s="70">
        <f t="shared" si="7"/>
        <v>1040</v>
      </c>
      <c r="G238" s="70">
        <v>20.6</v>
      </c>
      <c r="K238" s="70">
        <v>208</v>
      </c>
      <c r="L238" s="70">
        <f t="shared" si="8"/>
        <v>416</v>
      </c>
      <c r="M238" s="70">
        <v>20.3</v>
      </c>
    </row>
    <row r="239" spans="5:13" x14ac:dyDescent="0.3">
      <c r="E239" s="70">
        <v>209</v>
      </c>
      <c r="F239" s="70">
        <f t="shared" si="7"/>
        <v>1045</v>
      </c>
      <c r="G239" s="70">
        <v>20.7</v>
      </c>
      <c r="K239" s="70">
        <v>209</v>
      </c>
      <c r="L239" s="70">
        <f t="shared" si="8"/>
        <v>418</v>
      </c>
      <c r="M239" s="70">
        <v>20.399999999999999</v>
      </c>
    </row>
    <row r="240" spans="5:13" x14ac:dyDescent="0.3">
      <c r="E240" s="70">
        <v>210</v>
      </c>
      <c r="F240" s="70">
        <f t="shared" si="7"/>
        <v>1050</v>
      </c>
      <c r="G240" s="70">
        <v>20.8</v>
      </c>
      <c r="K240" s="70">
        <v>210</v>
      </c>
      <c r="L240" s="70">
        <f t="shared" si="8"/>
        <v>420</v>
      </c>
      <c r="M240" s="70">
        <v>20.5</v>
      </c>
    </row>
    <row r="241" spans="5:13" x14ac:dyDescent="0.3">
      <c r="E241" s="70">
        <v>211</v>
      </c>
      <c r="F241" s="70">
        <f t="shared" si="7"/>
        <v>1055</v>
      </c>
      <c r="G241" s="70">
        <v>20.9</v>
      </c>
      <c r="K241" s="70">
        <v>211</v>
      </c>
      <c r="L241" s="70">
        <f t="shared" si="8"/>
        <v>422</v>
      </c>
      <c r="M241" s="70">
        <v>20.6</v>
      </c>
    </row>
    <row r="242" spans="5:13" x14ac:dyDescent="0.3">
      <c r="E242" s="70">
        <v>212</v>
      </c>
      <c r="F242" s="70">
        <f t="shared" si="7"/>
        <v>1060</v>
      </c>
      <c r="G242" s="70">
        <v>21</v>
      </c>
      <c r="K242" s="70">
        <v>212</v>
      </c>
      <c r="L242" s="70">
        <f t="shared" si="8"/>
        <v>424</v>
      </c>
      <c r="M242" s="70">
        <v>20.7</v>
      </c>
    </row>
    <row r="243" spans="5:13" x14ac:dyDescent="0.3">
      <c r="E243" s="70">
        <v>213</v>
      </c>
      <c r="F243" s="70">
        <f t="shared" si="7"/>
        <v>1065</v>
      </c>
      <c r="G243" s="70">
        <v>21.1</v>
      </c>
      <c r="K243" s="70">
        <v>213</v>
      </c>
      <c r="L243" s="70">
        <f t="shared" si="8"/>
        <v>426</v>
      </c>
      <c r="M243" s="70">
        <v>20.8</v>
      </c>
    </row>
    <row r="244" spans="5:13" x14ac:dyDescent="0.3">
      <c r="E244" s="70">
        <v>214</v>
      </c>
      <c r="F244" s="70">
        <f t="shared" si="7"/>
        <v>1070</v>
      </c>
      <c r="G244" s="70">
        <v>21.2</v>
      </c>
      <c r="K244" s="70">
        <v>214</v>
      </c>
      <c r="L244" s="70">
        <f t="shared" si="8"/>
        <v>428</v>
      </c>
      <c r="M244" s="70">
        <v>20.9</v>
      </c>
    </row>
    <row r="245" spans="5:13" x14ac:dyDescent="0.3">
      <c r="E245" s="70">
        <v>215</v>
      </c>
      <c r="F245" s="70">
        <f t="shared" si="7"/>
        <v>1075</v>
      </c>
      <c r="G245" s="70">
        <v>21.3</v>
      </c>
      <c r="K245" s="70">
        <v>215</v>
      </c>
      <c r="L245" s="70">
        <f t="shared" si="8"/>
        <v>430</v>
      </c>
      <c r="M245" s="70">
        <v>21</v>
      </c>
    </row>
    <row r="246" spans="5:13" x14ac:dyDescent="0.3">
      <c r="E246" s="70">
        <v>216</v>
      </c>
      <c r="F246" s="70">
        <f t="shared" si="7"/>
        <v>1080</v>
      </c>
      <c r="G246" s="70">
        <v>21.4</v>
      </c>
      <c r="K246" s="70">
        <v>216</v>
      </c>
      <c r="L246" s="70">
        <f t="shared" si="8"/>
        <v>432</v>
      </c>
      <c r="M246" s="70">
        <v>21.1</v>
      </c>
    </row>
    <row r="247" spans="5:13" x14ac:dyDescent="0.3">
      <c r="E247" s="70">
        <v>217</v>
      </c>
      <c r="F247" s="70">
        <f t="shared" si="7"/>
        <v>1085</v>
      </c>
      <c r="G247" s="70">
        <v>21.5</v>
      </c>
      <c r="K247" s="70">
        <v>217</v>
      </c>
      <c r="L247" s="70">
        <f t="shared" si="8"/>
        <v>434</v>
      </c>
      <c r="M247" s="70">
        <v>21.2</v>
      </c>
    </row>
    <row r="248" spans="5:13" x14ac:dyDescent="0.3">
      <c r="E248" s="70">
        <v>218</v>
      </c>
      <c r="F248" s="70">
        <f t="shared" si="7"/>
        <v>1090</v>
      </c>
      <c r="G248" s="70">
        <v>21.6</v>
      </c>
      <c r="K248" s="70">
        <v>218</v>
      </c>
      <c r="L248" s="70">
        <f t="shared" si="8"/>
        <v>436</v>
      </c>
      <c r="M248" s="70">
        <v>21.3</v>
      </c>
    </row>
    <row r="249" spans="5:13" x14ac:dyDescent="0.3">
      <c r="E249" s="70">
        <v>219</v>
      </c>
      <c r="F249" s="70">
        <f t="shared" si="7"/>
        <v>1095</v>
      </c>
      <c r="G249" s="70">
        <v>21.7</v>
      </c>
      <c r="K249" s="70">
        <v>219</v>
      </c>
      <c r="L249" s="70">
        <f t="shared" si="8"/>
        <v>438</v>
      </c>
      <c r="M249" s="70">
        <v>21.4</v>
      </c>
    </row>
    <row r="250" spans="5:13" x14ac:dyDescent="0.3">
      <c r="E250" s="70">
        <v>220</v>
      </c>
      <c r="F250" s="70">
        <f t="shared" si="7"/>
        <v>1100</v>
      </c>
      <c r="G250" s="70">
        <v>21.8</v>
      </c>
      <c r="K250" s="70">
        <v>220</v>
      </c>
      <c r="L250" s="70">
        <f t="shared" si="8"/>
        <v>440</v>
      </c>
      <c r="M250" s="70">
        <v>21.5</v>
      </c>
    </row>
    <row r="251" spans="5:13" x14ac:dyDescent="0.3">
      <c r="E251" s="70">
        <v>221</v>
      </c>
      <c r="F251" s="70">
        <f t="shared" si="7"/>
        <v>1105</v>
      </c>
      <c r="G251" s="70">
        <v>21.9</v>
      </c>
      <c r="K251" s="70">
        <v>221</v>
      </c>
      <c r="L251" s="70">
        <f t="shared" si="8"/>
        <v>442</v>
      </c>
      <c r="M251" s="70">
        <v>21.6</v>
      </c>
    </row>
    <row r="252" spans="5:13" x14ac:dyDescent="0.3">
      <c r="E252" s="70">
        <v>222</v>
      </c>
      <c r="F252" s="70">
        <f t="shared" si="7"/>
        <v>1110</v>
      </c>
      <c r="G252" s="70">
        <v>22</v>
      </c>
      <c r="K252" s="70">
        <v>222</v>
      </c>
      <c r="L252" s="70">
        <f t="shared" si="8"/>
        <v>444</v>
      </c>
      <c r="M252" s="70">
        <v>21.7</v>
      </c>
    </row>
    <row r="253" spans="5:13" x14ac:dyDescent="0.3">
      <c r="E253" s="70">
        <v>223</v>
      </c>
      <c r="F253" s="70">
        <f t="shared" si="7"/>
        <v>1115</v>
      </c>
      <c r="G253" s="70">
        <v>22.1</v>
      </c>
      <c r="K253" s="70">
        <v>223</v>
      </c>
      <c r="L253" s="70">
        <f t="shared" si="8"/>
        <v>446</v>
      </c>
      <c r="M253" s="70">
        <v>21.8</v>
      </c>
    </row>
    <row r="254" spans="5:13" x14ac:dyDescent="0.3">
      <c r="E254" s="70">
        <v>224</v>
      </c>
      <c r="F254" s="70">
        <f t="shared" si="7"/>
        <v>1120</v>
      </c>
      <c r="G254" s="70">
        <v>22.2</v>
      </c>
      <c r="K254" s="70">
        <v>224</v>
      </c>
      <c r="L254" s="70">
        <f t="shared" si="8"/>
        <v>448</v>
      </c>
      <c r="M254" s="70">
        <v>21.9</v>
      </c>
    </row>
    <row r="255" spans="5:13" x14ac:dyDescent="0.3">
      <c r="E255" s="70">
        <v>225</v>
      </c>
      <c r="F255" s="70">
        <f t="shared" si="7"/>
        <v>1125</v>
      </c>
      <c r="G255" s="70">
        <v>22.3</v>
      </c>
      <c r="K255" s="70">
        <v>225</v>
      </c>
      <c r="L255" s="70">
        <f t="shared" si="8"/>
        <v>450</v>
      </c>
      <c r="M255" s="70">
        <v>22</v>
      </c>
    </row>
    <row r="256" spans="5:13" x14ac:dyDescent="0.3">
      <c r="E256" s="70">
        <v>226</v>
      </c>
      <c r="F256" s="70">
        <f t="shared" si="7"/>
        <v>1130</v>
      </c>
      <c r="G256" s="70">
        <v>22.4</v>
      </c>
      <c r="K256" s="70">
        <v>226</v>
      </c>
      <c r="L256" s="70">
        <f t="shared" si="8"/>
        <v>452</v>
      </c>
      <c r="M256" s="70">
        <v>22.1</v>
      </c>
    </row>
    <row r="257" spans="5:13" x14ac:dyDescent="0.3">
      <c r="E257" s="70">
        <v>227</v>
      </c>
      <c r="F257" s="70">
        <f t="shared" si="7"/>
        <v>1135</v>
      </c>
      <c r="G257" s="70">
        <v>22.5</v>
      </c>
      <c r="K257" s="70">
        <v>227</v>
      </c>
      <c r="L257" s="70">
        <f t="shared" si="8"/>
        <v>454</v>
      </c>
      <c r="M257" s="70">
        <v>22.2</v>
      </c>
    </row>
    <row r="258" spans="5:13" x14ac:dyDescent="0.3">
      <c r="E258" s="70">
        <v>228</v>
      </c>
      <c r="F258" s="70">
        <f t="shared" si="7"/>
        <v>1140</v>
      </c>
      <c r="G258" s="70">
        <v>22.6</v>
      </c>
      <c r="K258" s="70">
        <v>228</v>
      </c>
      <c r="L258" s="70">
        <f t="shared" si="8"/>
        <v>456</v>
      </c>
      <c r="M258" s="70">
        <v>22.3</v>
      </c>
    </row>
    <row r="259" spans="5:13" x14ac:dyDescent="0.3">
      <c r="E259" s="70">
        <v>229</v>
      </c>
      <c r="F259" s="70">
        <f t="shared" si="7"/>
        <v>1145</v>
      </c>
      <c r="G259" s="70">
        <v>22.7</v>
      </c>
      <c r="K259" s="70">
        <v>229</v>
      </c>
      <c r="L259" s="70">
        <f t="shared" si="8"/>
        <v>458</v>
      </c>
      <c r="M259" s="70">
        <v>22.4</v>
      </c>
    </row>
    <row r="260" spans="5:13" x14ac:dyDescent="0.3">
      <c r="E260" s="70">
        <v>230</v>
      </c>
      <c r="F260" s="70">
        <f t="shared" si="7"/>
        <v>1150</v>
      </c>
      <c r="G260" s="70">
        <v>22.8</v>
      </c>
      <c r="K260" s="70">
        <v>230</v>
      </c>
      <c r="L260" s="70">
        <f t="shared" si="8"/>
        <v>460</v>
      </c>
      <c r="M260" s="70">
        <v>22.5</v>
      </c>
    </row>
    <row r="261" spans="5:13" x14ac:dyDescent="0.3">
      <c r="E261" s="70">
        <v>231</v>
      </c>
      <c r="F261" s="70">
        <f t="shared" si="7"/>
        <v>1155</v>
      </c>
      <c r="G261" s="70">
        <v>22.9</v>
      </c>
      <c r="K261" s="70">
        <v>231</v>
      </c>
      <c r="L261" s="70">
        <f t="shared" si="8"/>
        <v>462</v>
      </c>
      <c r="M261" s="70">
        <v>22.6</v>
      </c>
    </row>
    <row r="262" spans="5:13" x14ac:dyDescent="0.3">
      <c r="E262" s="70">
        <v>232</v>
      </c>
      <c r="F262" s="70">
        <f t="shared" si="7"/>
        <v>1160</v>
      </c>
      <c r="G262" s="70">
        <v>23</v>
      </c>
      <c r="K262" s="70">
        <v>232</v>
      </c>
      <c r="L262" s="70">
        <f t="shared" si="8"/>
        <v>464</v>
      </c>
      <c r="M262" s="70">
        <v>22.7</v>
      </c>
    </row>
    <row r="263" spans="5:13" x14ac:dyDescent="0.3">
      <c r="E263" s="70">
        <v>233</v>
      </c>
      <c r="F263" s="70">
        <f t="shared" si="7"/>
        <v>1165</v>
      </c>
      <c r="G263" s="70">
        <v>23.1</v>
      </c>
      <c r="K263" s="70">
        <v>233</v>
      </c>
      <c r="L263" s="70">
        <f t="shared" si="8"/>
        <v>466</v>
      </c>
      <c r="M263" s="70">
        <v>22.8</v>
      </c>
    </row>
    <row r="264" spans="5:13" x14ac:dyDescent="0.3">
      <c r="E264" s="70">
        <v>234</v>
      </c>
      <c r="F264" s="70">
        <f t="shared" si="7"/>
        <v>1170</v>
      </c>
      <c r="G264" s="70">
        <v>23.2</v>
      </c>
      <c r="K264" s="70">
        <v>234</v>
      </c>
      <c r="L264" s="70">
        <f t="shared" si="8"/>
        <v>468</v>
      </c>
      <c r="M264" s="70">
        <v>22.9</v>
      </c>
    </row>
    <row r="265" spans="5:13" x14ac:dyDescent="0.3">
      <c r="E265" s="70">
        <v>235</v>
      </c>
      <c r="F265" s="70">
        <f t="shared" si="7"/>
        <v>1175</v>
      </c>
      <c r="G265" s="70">
        <v>23.3</v>
      </c>
      <c r="K265" s="70">
        <v>235</v>
      </c>
      <c r="L265" s="70">
        <f t="shared" si="8"/>
        <v>470</v>
      </c>
      <c r="M265" s="70">
        <v>23</v>
      </c>
    </row>
    <row r="266" spans="5:13" x14ac:dyDescent="0.3">
      <c r="E266" s="70">
        <v>236</v>
      </c>
      <c r="F266" s="70">
        <f t="shared" si="7"/>
        <v>1180</v>
      </c>
      <c r="G266" s="70">
        <v>23.4</v>
      </c>
      <c r="K266" s="70">
        <v>236</v>
      </c>
      <c r="L266" s="70">
        <f t="shared" si="8"/>
        <v>472</v>
      </c>
      <c r="M266" s="70">
        <v>23.1</v>
      </c>
    </row>
    <row r="267" spans="5:13" x14ac:dyDescent="0.3">
      <c r="E267" s="70">
        <v>237</v>
      </c>
      <c r="F267" s="70">
        <f t="shared" si="7"/>
        <v>1185</v>
      </c>
      <c r="G267" s="70">
        <v>23.499999999999901</v>
      </c>
      <c r="K267" s="70">
        <v>237</v>
      </c>
      <c r="L267" s="70">
        <f t="shared" si="8"/>
        <v>474</v>
      </c>
      <c r="M267" s="70">
        <v>23.1999999999999</v>
      </c>
    </row>
    <row r="268" spans="5:13" x14ac:dyDescent="0.3">
      <c r="E268" s="70">
        <v>238</v>
      </c>
      <c r="F268" s="70">
        <f t="shared" si="7"/>
        <v>1190</v>
      </c>
      <c r="G268" s="70">
        <v>23.599999999999898</v>
      </c>
      <c r="K268" s="70">
        <v>238</v>
      </c>
      <c r="L268" s="70">
        <f t="shared" si="8"/>
        <v>476</v>
      </c>
      <c r="M268" s="70">
        <v>23.299999999999901</v>
      </c>
    </row>
    <row r="269" spans="5:13" x14ac:dyDescent="0.3">
      <c r="E269" s="70">
        <v>239</v>
      </c>
      <c r="F269" s="70">
        <f t="shared" si="7"/>
        <v>1195</v>
      </c>
      <c r="G269" s="70">
        <v>23.6999999999999</v>
      </c>
      <c r="K269" s="70">
        <v>239</v>
      </c>
      <c r="L269" s="70">
        <f t="shared" si="8"/>
        <v>478</v>
      </c>
      <c r="M269" s="70">
        <v>23.399999999999899</v>
      </c>
    </row>
    <row r="270" spans="5:13" x14ac:dyDescent="0.3">
      <c r="E270" s="70">
        <v>240</v>
      </c>
      <c r="F270" s="70">
        <f t="shared" si="7"/>
        <v>1200</v>
      </c>
      <c r="G270" s="70">
        <v>23.799999999999901</v>
      </c>
      <c r="K270" s="70">
        <v>240</v>
      </c>
      <c r="L270" s="70">
        <f t="shared" si="8"/>
        <v>480</v>
      </c>
      <c r="M270" s="70">
        <v>23.499999999999901</v>
      </c>
    </row>
    <row r="271" spans="5:13" x14ac:dyDescent="0.3">
      <c r="E271" s="70">
        <v>241</v>
      </c>
      <c r="F271" s="70">
        <f t="shared" si="7"/>
        <v>1205</v>
      </c>
      <c r="G271" s="70">
        <v>23.899999999999899</v>
      </c>
      <c r="K271" s="70">
        <v>241</v>
      </c>
      <c r="L271" s="70">
        <f t="shared" si="8"/>
        <v>482</v>
      </c>
      <c r="M271" s="70">
        <v>23.599999999999898</v>
      </c>
    </row>
    <row r="272" spans="5:13" x14ac:dyDescent="0.3">
      <c r="E272" s="70">
        <v>242</v>
      </c>
      <c r="F272" s="70">
        <f t="shared" si="7"/>
        <v>1210</v>
      </c>
      <c r="G272" s="70">
        <v>23.999999999999901</v>
      </c>
      <c r="K272" s="70">
        <v>242</v>
      </c>
      <c r="L272" s="70">
        <f t="shared" si="8"/>
        <v>484</v>
      </c>
      <c r="M272" s="70">
        <v>23.6999999999999</v>
      </c>
    </row>
    <row r="273" spans="5:13" x14ac:dyDescent="0.3">
      <c r="E273" s="70">
        <v>243</v>
      </c>
      <c r="F273" s="70">
        <f t="shared" si="7"/>
        <v>1215</v>
      </c>
      <c r="G273" s="70">
        <v>24.099999999999898</v>
      </c>
      <c r="K273" s="70">
        <v>243</v>
      </c>
      <c r="L273" s="70">
        <f t="shared" si="8"/>
        <v>486</v>
      </c>
      <c r="M273" s="70">
        <v>23.799999999999901</v>
      </c>
    </row>
    <row r="274" spans="5:13" x14ac:dyDescent="0.3">
      <c r="E274" s="70">
        <v>244</v>
      </c>
      <c r="F274" s="70">
        <f t="shared" si="7"/>
        <v>1220</v>
      </c>
      <c r="G274" s="70">
        <v>24.1999999999999</v>
      </c>
      <c r="K274" s="70">
        <v>244</v>
      </c>
      <c r="L274" s="70">
        <f t="shared" si="8"/>
        <v>488</v>
      </c>
      <c r="M274" s="70">
        <v>23.899999999999899</v>
      </c>
    </row>
    <row r="275" spans="5:13" x14ac:dyDescent="0.3">
      <c r="E275" s="70">
        <v>245</v>
      </c>
      <c r="F275" s="70">
        <f t="shared" si="7"/>
        <v>1225</v>
      </c>
      <c r="G275" s="70">
        <v>24.299999999999901</v>
      </c>
      <c r="K275" s="70">
        <v>245</v>
      </c>
      <c r="L275" s="70">
        <f t="shared" si="8"/>
        <v>490</v>
      </c>
      <c r="M275" s="70">
        <v>23.999999999999901</v>
      </c>
    </row>
    <row r="276" spans="5:13" x14ac:dyDescent="0.3">
      <c r="E276" s="70">
        <v>246</v>
      </c>
      <c r="F276" s="70">
        <f t="shared" si="7"/>
        <v>1230</v>
      </c>
      <c r="G276" s="70">
        <v>24.399999999999899</v>
      </c>
      <c r="K276" s="70">
        <v>246</v>
      </c>
      <c r="L276" s="70">
        <f t="shared" si="8"/>
        <v>492</v>
      </c>
      <c r="M276" s="70">
        <v>24.099999999999898</v>
      </c>
    </row>
    <row r="277" spans="5:13" x14ac:dyDescent="0.3">
      <c r="E277" s="70">
        <v>247</v>
      </c>
      <c r="F277" s="70">
        <f t="shared" si="7"/>
        <v>1235</v>
      </c>
      <c r="G277" s="70">
        <v>24.499999999999901</v>
      </c>
      <c r="K277" s="70">
        <v>247</v>
      </c>
      <c r="L277" s="70">
        <f t="shared" si="8"/>
        <v>494</v>
      </c>
      <c r="M277" s="70">
        <v>24.1999999999999</v>
      </c>
    </row>
    <row r="278" spans="5:13" x14ac:dyDescent="0.3">
      <c r="E278" s="70">
        <v>248</v>
      </c>
      <c r="F278" s="70">
        <f t="shared" si="7"/>
        <v>1240</v>
      </c>
      <c r="G278" s="70">
        <v>24.599999999999898</v>
      </c>
      <c r="K278" s="70">
        <v>248</v>
      </c>
      <c r="L278" s="70">
        <f t="shared" si="8"/>
        <v>496</v>
      </c>
      <c r="M278" s="70">
        <v>24.299999999999901</v>
      </c>
    </row>
    <row r="279" spans="5:13" x14ac:dyDescent="0.3">
      <c r="E279" s="70">
        <v>249</v>
      </c>
      <c r="F279" s="70">
        <f t="shared" si="7"/>
        <v>1245</v>
      </c>
      <c r="G279" s="70">
        <v>24.6999999999999</v>
      </c>
      <c r="K279" s="70">
        <v>249</v>
      </c>
      <c r="L279" s="70">
        <f t="shared" si="8"/>
        <v>498</v>
      </c>
      <c r="M279" s="70">
        <v>24.399999999999899</v>
      </c>
    </row>
    <row r="280" spans="5:13" x14ac:dyDescent="0.3">
      <c r="E280" s="70">
        <v>250</v>
      </c>
      <c r="F280" s="70">
        <f t="shared" si="7"/>
        <v>1250</v>
      </c>
      <c r="G280" s="70">
        <v>24.799999999999901</v>
      </c>
      <c r="K280" s="70">
        <v>250</v>
      </c>
      <c r="L280" s="70">
        <f t="shared" si="8"/>
        <v>500</v>
      </c>
      <c r="M280" s="70">
        <v>24.499999999999901</v>
      </c>
    </row>
    <row r="281" spans="5:13" x14ac:dyDescent="0.3">
      <c r="E281" s="70">
        <v>251</v>
      </c>
      <c r="F281" s="70">
        <f t="shared" si="7"/>
        <v>1255</v>
      </c>
      <c r="G281" s="70">
        <v>24.899999999999899</v>
      </c>
      <c r="K281" s="70">
        <v>251</v>
      </c>
      <c r="L281" s="70">
        <f t="shared" si="8"/>
        <v>502</v>
      </c>
      <c r="M281" s="70">
        <v>24.599999999999898</v>
      </c>
    </row>
    <row r="282" spans="5:13" x14ac:dyDescent="0.3">
      <c r="E282" s="70">
        <v>252</v>
      </c>
      <c r="F282" s="70">
        <f t="shared" si="7"/>
        <v>1260</v>
      </c>
      <c r="G282" s="70">
        <v>24.999999999999901</v>
      </c>
      <c r="K282" s="70">
        <v>252</v>
      </c>
      <c r="L282" s="70">
        <f t="shared" si="8"/>
        <v>504</v>
      </c>
      <c r="M282" s="70">
        <v>24.6999999999999</v>
      </c>
    </row>
    <row r="283" spans="5:13" x14ac:dyDescent="0.3">
      <c r="E283" s="70">
        <v>253</v>
      </c>
      <c r="F283" s="70">
        <f t="shared" si="7"/>
        <v>1265</v>
      </c>
      <c r="G283" s="70">
        <v>25.099999999999898</v>
      </c>
      <c r="K283" s="70">
        <v>253</v>
      </c>
      <c r="L283" s="70">
        <f t="shared" si="8"/>
        <v>506</v>
      </c>
      <c r="M283" s="70">
        <v>24.799999999999901</v>
      </c>
    </row>
    <row r="284" spans="5:13" x14ac:dyDescent="0.3">
      <c r="E284" s="70">
        <v>254</v>
      </c>
      <c r="F284" s="70">
        <f t="shared" si="7"/>
        <v>1270</v>
      </c>
      <c r="G284" s="70">
        <v>25.1999999999999</v>
      </c>
      <c r="K284" s="70">
        <v>254</v>
      </c>
      <c r="L284" s="70">
        <f t="shared" si="8"/>
        <v>508</v>
      </c>
      <c r="M284" s="70">
        <v>24.899999999999899</v>
      </c>
    </row>
    <row r="285" spans="5:13" x14ac:dyDescent="0.3">
      <c r="E285" s="70">
        <v>255</v>
      </c>
      <c r="F285" s="70">
        <f t="shared" si="7"/>
        <v>1275</v>
      </c>
      <c r="G285" s="70">
        <v>25.299999999999901</v>
      </c>
      <c r="K285" s="70">
        <v>255</v>
      </c>
      <c r="L285" s="70">
        <f t="shared" si="8"/>
        <v>510</v>
      </c>
      <c r="M285" s="70">
        <v>24.999999999999901</v>
      </c>
    </row>
    <row r="286" spans="5:13" x14ac:dyDescent="0.3">
      <c r="E286" s="70">
        <v>256</v>
      </c>
      <c r="F286" s="70">
        <f t="shared" si="7"/>
        <v>1280</v>
      </c>
      <c r="G286" s="70">
        <v>25.399999999999899</v>
      </c>
      <c r="K286" s="70">
        <v>256</v>
      </c>
      <c r="L286" s="70">
        <f t="shared" si="8"/>
        <v>512</v>
      </c>
      <c r="M286" s="70">
        <v>25.099999999999898</v>
      </c>
    </row>
    <row r="287" spans="5:13" x14ac:dyDescent="0.3">
      <c r="E287" s="70">
        <v>257</v>
      </c>
      <c r="F287" s="70">
        <f t="shared" si="7"/>
        <v>1285</v>
      </c>
      <c r="G287" s="70">
        <v>25.499999999999901</v>
      </c>
      <c r="K287" s="70">
        <v>257</v>
      </c>
      <c r="L287" s="70">
        <f t="shared" si="8"/>
        <v>514</v>
      </c>
      <c r="M287" s="70">
        <v>25.1999999999999</v>
      </c>
    </row>
    <row r="288" spans="5:13" x14ac:dyDescent="0.3">
      <c r="E288" s="70">
        <v>258</v>
      </c>
      <c r="F288" s="70">
        <f t="shared" si="7"/>
        <v>1290</v>
      </c>
      <c r="G288" s="70">
        <v>25.599999999999898</v>
      </c>
      <c r="K288" s="70">
        <v>258</v>
      </c>
      <c r="L288" s="70">
        <f t="shared" si="8"/>
        <v>516</v>
      </c>
      <c r="M288" s="70">
        <v>25.299999999999901</v>
      </c>
    </row>
    <row r="289" spans="5:13" x14ac:dyDescent="0.3">
      <c r="E289" s="70">
        <v>259</v>
      </c>
      <c r="F289" s="70">
        <f t="shared" ref="F289:F352" si="9">+F288+$F$27</f>
        <v>1295</v>
      </c>
      <c r="G289" s="70">
        <v>25.6999999999999</v>
      </c>
      <c r="K289" s="70">
        <v>259</v>
      </c>
      <c r="L289" s="70">
        <f t="shared" ref="L289:L352" si="10">+L288+$L$27</f>
        <v>518</v>
      </c>
      <c r="M289" s="70">
        <v>25.399999999999899</v>
      </c>
    </row>
    <row r="290" spans="5:13" x14ac:dyDescent="0.3">
      <c r="E290" s="70">
        <v>260</v>
      </c>
      <c r="F290" s="70">
        <f t="shared" si="9"/>
        <v>1300</v>
      </c>
      <c r="G290" s="70">
        <v>25.799999999999901</v>
      </c>
      <c r="K290" s="70">
        <v>260</v>
      </c>
      <c r="L290" s="70">
        <f t="shared" si="10"/>
        <v>520</v>
      </c>
      <c r="M290" s="70">
        <v>25.499999999999901</v>
      </c>
    </row>
    <row r="291" spans="5:13" x14ac:dyDescent="0.3">
      <c r="E291" s="70">
        <v>261</v>
      </c>
      <c r="F291" s="70">
        <f t="shared" si="9"/>
        <v>1305</v>
      </c>
      <c r="G291" s="70">
        <v>25.899999999999899</v>
      </c>
      <c r="K291" s="70">
        <v>261</v>
      </c>
      <c r="L291" s="70">
        <f t="shared" si="10"/>
        <v>522</v>
      </c>
      <c r="M291" s="70">
        <v>25.599999999999898</v>
      </c>
    </row>
    <row r="292" spans="5:13" x14ac:dyDescent="0.3">
      <c r="E292" s="70">
        <v>262</v>
      </c>
      <c r="F292" s="70">
        <f t="shared" si="9"/>
        <v>1310</v>
      </c>
      <c r="G292" s="70">
        <v>25.999999999999901</v>
      </c>
      <c r="K292" s="70">
        <v>262</v>
      </c>
      <c r="L292" s="70">
        <f t="shared" si="10"/>
        <v>524</v>
      </c>
      <c r="M292" s="70">
        <v>25.6999999999999</v>
      </c>
    </row>
    <row r="293" spans="5:13" x14ac:dyDescent="0.3">
      <c r="E293" s="70">
        <v>263</v>
      </c>
      <c r="F293" s="70">
        <f t="shared" si="9"/>
        <v>1315</v>
      </c>
      <c r="G293" s="70">
        <v>26.099999999999898</v>
      </c>
      <c r="K293" s="70">
        <v>263</v>
      </c>
      <c r="L293" s="70">
        <f t="shared" si="10"/>
        <v>526</v>
      </c>
      <c r="M293" s="70">
        <v>25.799999999999901</v>
      </c>
    </row>
    <row r="294" spans="5:13" x14ac:dyDescent="0.3">
      <c r="E294" s="70">
        <v>264</v>
      </c>
      <c r="F294" s="70">
        <f t="shared" si="9"/>
        <v>1320</v>
      </c>
      <c r="G294" s="70">
        <v>26.1999999999999</v>
      </c>
      <c r="K294" s="70">
        <v>264</v>
      </c>
      <c r="L294" s="70">
        <f t="shared" si="10"/>
        <v>528</v>
      </c>
      <c r="M294" s="70">
        <v>25.899999999999899</v>
      </c>
    </row>
    <row r="295" spans="5:13" x14ac:dyDescent="0.3">
      <c r="E295" s="70">
        <v>265</v>
      </c>
      <c r="F295" s="70">
        <f t="shared" si="9"/>
        <v>1325</v>
      </c>
      <c r="G295" s="70">
        <v>26.299999999999901</v>
      </c>
      <c r="K295" s="70">
        <v>265</v>
      </c>
      <c r="L295" s="70">
        <f t="shared" si="10"/>
        <v>530</v>
      </c>
      <c r="M295" s="70">
        <v>25.999999999999901</v>
      </c>
    </row>
    <row r="296" spans="5:13" x14ac:dyDescent="0.3">
      <c r="E296" s="70">
        <v>266</v>
      </c>
      <c r="F296" s="70">
        <f t="shared" si="9"/>
        <v>1330</v>
      </c>
      <c r="G296" s="70">
        <v>26.399999999999899</v>
      </c>
      <c r="K296" s="70">
        <v>266</v>
      </c>
      <c r="L296" s="70">
        <f t="shared" si="10"/>
        <v>532</v>
      </c>
      <c r="M296" s="70">
        <v>26.099999999999898</v>
      </c>
    </row>
    <row r="297" spans="5:13" x14ac:dyDescent="0.3">
      <c r="E297" s="70">
        <v>267</v>
      </c>
      <c r="F297" s="70">
        <f t="shared" si="9"/>
        <v>1335</v>
      </c>
      <c r="G297" s="70">
        <v>26.499999999999901</v>
      </c>
      <c r="K297" s="70">
        <v>267</v>
      </c>
      <c r="L297" s="70">
        <f t="shared" si="10"/>
        <v>534</v>
      </c>
      <c r="M297" s="70">
        <v>26.1999999999999</v>
      </c>
    </row>
    <row r="298" spans="5:13" x14ac:dyDescent="0.3">
      <c r="E298" s="70">
        <v>268</v>
      </c>
      <c r="F298" s="70">
        <f t="shared" si="9"/>
        <v>1340</v>
      </c>
      <c r="G298" s="70">
        <v>26.599999999999898</v>
      </c>
      <c r="K298" s="70">
        <v>268</v>
      </c>
      <c r="L298" s="70">
        <f t="shared" si="10"/>
        <v>536</v>
      </c>
      <c r="M298" s="70">
        <v>26.299999999999901</v>
      </c>
    </row>
    <row r="299" spans="5:13" x14ac:dyDescent="0.3">
      <c r="E299" s="70">
        <v>269</v>
      </c>
      <c r="F299" s="70">
        <f t="shared" si="9"/>
        <v>1345</v>
      </c>
      <c r="G299" s="70">
        <v>26.6999999999999</v>
      </c>
      <c r="K299" s="70">
        <v>269</v>
      </c>
      <c r="L299" s="70">
        <f t="shared" si="10"/>
        <v>538</v>
      </c>
      <c r="M299" s="70">
        <v>26.399999999999899</v>
      </c>
    </row>
    <row r="300" spans="5:13" x14ac:dyDescent="0.3">
      <c r="E300" s="70">
        <v>270</v>
      </c>
      <c r="F300" s="70">
        <f t="shared" si="9"/>
        <v>1350</v>
      </c>
      <c r="G300" s="70">
        <v>26.799999999999901</v>
      </c>
      <c r="K300" s="70">
        <v>270</v>
      </c>
      <c r="L300" s="70">
        <f t="shared" si="10"/>
        <v>540</v>
      </c>
      <c r="M300" s="70">
        <v>26.499999999999901</v>
      </c>
    </row>
    <row r="301" spans="5:13" x14ac:dyDescent="0.3">
      <c r="E301" s="70">
        <v>271</v>
      </c>
      <c r="F301" s="70">
        <f t="shared" si="9"/>
        <v>1355</v>
      </c>
      <c r="G301" s="70">
        <v>26.899999999999899</v>
      </c>
      <c r="K301" s="70">
        <v>271</v>
      </c>
      <c r="L301" s="70">
        <f t="shared" si="10"/>
        <v>542</v>
      </c>
      <c r="M301" s="70">
        <v>26.599999999999898</v>
      </c>
    </row>
    <row r="302" spans="5:13" x14ac:dyDescent="0.3">
      <c r="E302" s="70">
        <v>272</v>
      </c>
      <c r="F302" s="70">
        <f t="shared" si="9"/>
        <v>1360</v>
      </c>
      <c r="G302" s="70">
        <v>26.999999999999901</v>
      </c>
      <c r="K302" s="70">
        <v>272</v>
      </c>
      <c r="L302" s="70">
        <f t="shared" si="10"/>
        <v>544</v>
      </c>
      <c r="M302" s="70">
        <v>26.6999999999999</v>
      </c>
    </row>
    <row r="303" spans="5:13" x14ac:dyDescent="0.3">
      <c r="E303" s="70">
        <v>273</v>
      </c>
      <c r="F303" s="70">
        <f t="shared" si="9"/>
        <v>1365</v>
      </c>
      <c r="G303" s="70">
        <v>27.099999999999898</v>
      </c>
      <c r="K303" s="70">
        <v>273</v>
      </c>
      <c r="L303" s="70">
        <f t="shared" si="10"/>
        <v>546</v>
      </c>
      <c r="M303" s="70">
        <v>26.799999999999901</v>
      </c>
    </row>
    <row r="304" spans="5:13" x14ac:dyDescent="0.3">
      <c r="E304" s="70">
        <v>274</v>
      </c>
      <c r="F304" s="70">
        <f t="shared" si="9"/>
        <v>1370</v>
      </c>
      <c r="G304" s="70">
        <v>27.1999999999999</v>
      </c>
      <c r="K304" s="70">
        <v>274</v>
      </c>
      <c r="L304" s="70">
        <f t="shared" si="10"/>
        <v>548</v>
      </c>
      <c r="M304" s="70">
        <v>26.899999999999899</v>
      </c>
    </row>
    <row r="305" spans="5:13" x14ac:dyDescent="0.3">
      <c r="E305" s="70">
        <v>275</v>
      </c>
      <c r="F305" s="70">
        <f t="shared" si="9"/>
        <v>1375</v>
      </c>
      <c r="G305" s="70">
        <v>27.299999999999901</v>
      </c>
      <c r="K305" s="70">
        <v>275</v>
      </c>
      <c r="L305" s="70">
        <f t="shared" si="10"/>
        <v>550</v>
      </c>
      <c r="M305" s="70">
        <v>26.999999999999901</v>
      </c>
    </row>
    <row r="306" spans="5:13" x14ac:dyDescent="0.3">
      <c r="E306" s="70">
        <v>276</v>
      </c>
      <c r="F306" s="70">
        <f t="shared" si="9"/>
        <v>1380</v>
      </c>
      <c r="G306" s="70">
        <v>27.399999999999899</v>
      </c>
      <c r="K306" s="70">
        <v>276</v>
      </c>
      <c r="L306" s="70">
        <f t="shared" si="10"/>
        <v>552</v>
      </c>
      <c r="M306" s="70">
        <v>27.099999999999898</v>
      </c>
    </row>
    <row r="307" spans="5:13" x14ac:dyDescent="0.3">
      <c r="E307" s="70">
        <v>277</v>
      </c>
      <c r="F307" s="70">
        <f t="shared" si="9"/>
        <v>1385</v>
      </c>
      <c r="G307" s="70">
        <v>27.499999999999901</v>
      </c>
      <c r="K307" s="70">
        <v>277</v>
      </c>
      <c r="L307" s="70">
        <f t="shared" si="10"/>
        <v>554</v>
      </c>
      <c r="M307" s="70">
        <v>27.1999999999999</v>
      </c>
    </row>
    <row r="308" spans="5:13" x14ac:dyDescent="0.3">
      <c r="E308" s="70">
        <v>278</v>
      </c>
      <c r="F308" s="70">
        <f t="shared" si="9"/>
        <v>1390</v>
      </c>
      <c r="G308" s="70">
        <v>27.599999999999898</v>
      </c>
      <c r="K308" s="70">
        <v>278</v>
      </c>
      <c r="L308" s="70">
        <f t="shared" si="10"/>
        <v>556</v>
      </c>
      <c r="M308" s="70">
        <v>27.299999999999901</v>
      </c>
    </row>
    <row r="309" spans="5:13" x14ac:dyDescent="0.3">
      <c r="E309" s="70">
        <v>279</v>
      </c>
      <c r="F309" s="70">
        <f t="shared" si="9"/>
        <v>1395</v>
      </c>
      <c r="G309" s="70">
        <v>27.6999999999999</v>
      </c>
      <c r="K309" s="70">
        <v>279</v>
      </c>
      <c r="L309" s="70">
        <f t="shared" si="10"/>
        <v>558</v>
      </c>
      <c r="M309" s="70">
        <v>27.399999999999899</v>
      </c>
    </row>
    <row r="310" spans="5:13" x14ac:dyDescent="0.3">
      <c r="E310" s="70">
        <v>280</v>
      </c>
      <c r="F310" s="70">
        <f t="shared" si="9"/>
        <v>1400</v>
      </c>
      <c r="G310" s="70">
        <v>27.799999999999901</v>
      </c>
      <c r="K310" s="70">
        <v>280</v>
      </c>
      <c r="L310" s="70">
        <f t="shared" si="10"/>
        <v>560</v>
      </c>
      <c r="M310" s="70">
        <v>27.499999999999901</v>
      </c>
    </row>
    <row r="311" spans="5:13" x14ac:dyDescent="0.3">
      <c r="E311" s="70">
        <v>281</v>
      </c>
      <c r="F311" s="70">
        <f t="shared" si="9"/>
        <v>1405</v>
      </c>
      <c r="G311" s="70">
        <v>27.899999999999899</v>
      </c>
      <c r="K311" s="70">
        <v>281</v>
      </c>
      <c r="L311" s="70">
        <f t="shared" si="10"/>
        <v>562</v>
      </c>
      <c r="M311" s="70">
        <v>27.599999999999898</v>
      </c>
    </row>
    <row r="312" spans="5:13" x14ac:dyDescent="0.3">
      <c r="E312" s="70">
        <v>282</v>
      </c>
      <c r="F312" s="70">
        <f t="shared" si="9"/>
        <v>1410</v>
      </c>
      <c r="G312" s="70">
        <v>27.999999999999901</v>
      </c>
      <c r="K312" s="70">
        <v>282</v>
      </c>
      <c r="L312" s="70">
        <f t="shared" si="10"/>
        <v>564</v>
      </c>
      <c r="M312" s="70">
        <v>27.6999999999999</v>
      </c>
    </row>
    <row r="313" spans="5:13" x14ac:dyDescent="0.3">
      <c r="E313" s="70">
        <v>283</v>
      </c>
      <c r="F313" s="70">
        <f t="shared" si="9"/>
        <v>1415</v>
      </c>
      <c r="G313" s="70">
        <v>28.099999999999898</v>
      </c>
      <c r="K313" s="70">
        <v>283</v>
      </c>
      <c r="L313" s="70">
        <f t="shared" si="10"/>
        <v>566</v>
      </c>
      <c r="M313" s="70">
        <v>27.799999999999901</v>
      </c>
    </row>
    <row r="314" spans="5:13" x14ac:dyDescent="0.3">
      <c r="E314" s="70">
        <v>284</v>
      </c>
      <c r="F314" s="70">
        <f t="shared" si="9"/>
        <v>1420</v>
      </c>
      <c r="G314" s="70">
        <v>28.1999999999999</v>
      </c>
      <c r="K314" s="70">
        <v>284</v>
      </c>
      <c r="L314" s="70">
        <f t="shared" si="10"/>
        <v>568</v>
      </c>
      <c r="M314" s="70">
        <v>27.899999999999899</v>
      </c>
    </row>
    <row r="315" spans="5:13" x14ac:dyDescent="0.3">
      <c r="E315" s="70">
        <v>285</v>
      </c>
      <c r="F315" s="70">
        <f t="shared" si="9"/>
        <v>1425</v>
      </c>
      <c r="G315" s="70">
        <v>28.299999999999901</v>
      </c>
      <c r="K315" s="70">
        <v>285</v>
      </c>
      <c r="L315" s="70">
        <f t="shared" si="10"/>
        <v>570</v>
      </c>
      <c r="M315" s="70">
        <v>27.999999999999901</v>
      </c>
    </row>
    <row r="316" spans="5:13" x14ac:dyDescent="0.3">
      <c r="E316" s="70">
        <v>286</v>
      </c>
      <c r="F316" s="70">
        <f t="shared" si="9"/>
        <v>1430</v>
      </c>
      <c r="G316" s="70">
        <v>28.399999999999899</v>
      </c>
      <c r="K316" s="70">
        <v>286</v>
      </c>
      <c r="L316" s="70">
        <f t="shared" si="10"/>
        <v>572</v>
      </c>
      <c r="M316" s="70">
        <v>28.099999999999898</v>
      </c>
    </row>
    <row r="317" spans="5:13" x14ac:dyDescent="0.3">
      <c r="E317" s="70">
        <v>287</v>
      </c>
      <c r="F317" s="70">
        <f t="shared" si="9"/>
        <v>1435</v>
      </c>
      <c r="G317" s="70">
        <v>28.499999999999901</v>
      </c>
      <c r="K317" s="70">
        <v>287</v>
      </c>
      <c r="L317" s="70">
        <f t="shared" si="10"/>
        <v>574</v>
      </c>
      <c r="M317" s="70">
        <v>28.1999999999999</v>
      </c>
    </row>
    <row r="318" spans="5:13" x14ac:dyDescent="0.3">
      <c r="E318" s="70">
        <v>288</v>
      </c>
      <c r="F318" s="70">
        <f t="shared" si="9"/>
        <v>1440</v>
      </c>
      <c r="G318" s="70">
        <v>28.599999999999898</v>
      </c>
      <c r="K318" s="70">
        <v>288</v>
      </c>
      <c r="L318" s="70">
        <f t="shared" si="10"/>
        <v>576</v>
      </c>
      <c r="M318" s="70">
        <v>28.299999999999901</v>
      </c>
    </row>
    <row r="319" spans="5:13" x14ac:dyDescent="0.3">
      <c r="E319" s="70">
        <v>289</v>
      </c>
      <c r="F319" s="70">
        <f t="shared" si="9"/>
        <v>1445</v>
      </c>
      <c r="G319" s="70">
        <v>28.6999999999999</v>
      </c>
      <c r="K319" s="70">
        <v>289</v>
      </c>
      <c r="L319" s="70">
        <f t="shared" si="10"/>
        <v>578</v>
      </c>
      <c r="M319" s="70">
        <v>28.399999999999899</v>
      </c>
    </row>
    <row r="320" spans="5:13" x14ac:dyDescent="0.3">
      <c r="E320" s="70">
        <v>290</v>
      </c>
      <c r="F320" s="70">
        <f t="shared" si="9"/>
        <v>1450</v>
      </c>
      <c r="G320" s="70">
        <v>28.799999999999901</v>
      </c>
      <c r="K320" s="70">
        <v>290</v>
      </c>
      <c r="L320" s="70">
        <f t="shared" si="10"/>
        <v>580</v>
      </c>
      <c r="M320" s="70">
        <v>28.499999999999901</v>
      </c>
    </row>
    <row r="321" spans="5:13" x14ac:dyDescent="0.3">
      <c r="E321" s="70">
        <v>291</v>
      </c>
      <c r="F321" s="70">
        <f t="shared" si="9"/>
        <v>1455</v>
      </c>
      <c r="G321" s="70">
        <v>28.899999999999899</v>
      </c>
      <c r="K321" s="70">
        <v>291</v>
      </c>
      <c r="L321" s="70">
        <f t="shared" si="10"/>
        <v>582</v>
      </c>
      <c r="M321" s="70">
        <v>28.599999999999898</v>
      </c>
    </row>
    <row r="322" spans="5:13" x14ac:dyDescent="0.3">
      <c r="E322" s="70">
        <v>292</v>
      </c>
      <c r="F322" s="70">
        <f t="shared" si="9"/>
        <v>1460</v>
      </c>
      <c r="G322" s="70">
        <v>28.999999999999901</v>
      </c>
      <c r="K322" s="70">
        <v>292</v>
      </c>
      <c r="L322" s="70">
        <f t="shared" si="10"/>
        <v>584</v>
      </c>
      <c r="M322" s="70">
        <v>28.6999999999999</v>
      </c>
    </row>
    <row r="323" spans="5:13" x14ac:dyDescent="0.3">
      <c r="E323" s="70">
        <v>293</v>
      </c>
      <c r="F323" s="70">
        <f t="shared" si="9"/>
        <v>1465</v>
      </c>
      <c r="G323" s="70">
        <v>29.099999999999898</v>
      </c>
      <c r="K323" s="70">
        <v>293</v>
      </c>
      <c r="L323" s="70">
        <f t="shared" si="10"/>
        <v>586</v>
      </c>
      <c r="M323" s="70">
        <v>28.799999999999901</v>
      </c>
    </row>
    <row r="324" spans="5:13" x14ac:dyDescent="0.3">
      <c r="E324" s="70">
        <v>294</v>
      </c>
      <c r="F324" s="70">
        <f t="shared" si="9"/>
        <v>1470</v>
      </c>
      <c r="G324" s="70">
        <v>29.1999999999999</v>
      </c>
      <c r="K324" s="70">
        <v>294</v>
      </c>
      <c r="L324" s="70">
        <f t="shared" si="10"/>
        <v>588</v>
      </c>
      <c r="M324" s="70">
        <v>28.899999999999899</v>
      </c>
    </row>
    <row r="325" spans="5:13" x14ac:dyDescent="0.3">
      <c r="E325" s="70">
        <v>295</v>
      </c>
      <c r="F325" s="70">
        <f t="shared" si="9"/>
        <v>1475</v>
      </c>
      <c r="G325" s="70">
        <v>29.299999999999901</v>
      </c>
      <c r="K325" s="70">
        <v>295</v>
      </c>
      <c r="L325" s="70">
        <f t="shared" si="10"/>
        <v>590</v>
      </c>
      <c r="M325" s="70">
        <v>28.999999999999901</v>
      </c>
    </row>
    <row r="326" spans="5:13" x14ac:dyDescent="0.3">
      <c r="E326" s="70">
        <v>296</v>
      </c>
      <c r="F326" s="70">
        <f t="shared" si="9"/>
        <v>1480</v>
      </c>
      <c r="G326" s="70">
        <v>29.399999999999899</v>
      </c>
      <c r="K326" s="70">
        <v>296</v>
      </c>
      <c r="L326" s="70">
        <f t="shared" si="10"/>
        <v>592</v>
      </c>
      <c r="M326" s="70">
        <v>29.099999999999898</v>
      </c>
    </row>
    <row r="327" spans="5:13" x14ac:dyDescent="0.3">
      <c r="E327" s="70">
        <v>297</v>
      </c>
      <c r="F327" s="70">
        <f t="shared" si="9"/>
        <v>1485</v>
      </c>
      <c r="G327" s="70">
        <v>29.499999999999901</v>
      </c>
      <c r="K327" s="70">
        <v>297</v>
      </c>
      <c r="L327" s="70">
        <f t="shared" si="10"/>
        <v>594</v>
      </c>
      <c r="M327" s="70">
        <v>29.1999999999999</v>
      </c>
    </row>
    <row r="328" spans="5:13" x14ac:dyDescent="0.3">
      <c r="E328" s="70">
        <v>298</v>
      </c>
      <c r="F328" s="70">
        <f t="shared" si="9"/>
        <v>1490</v>
      </c>
      <c r="G328" s="70">
        <v>29.599999999999898</v>
      </c>
      <c r="K328" s="70">
        <v>298</v>
      </c>
      <c r="L328" s="70">
        <f t="shared" si="10"/>
        <v>596</v>
      </c>
      <c r="M328" s="70">
        <v>29.299999999999901</v>
      </c>
    </row>
    <row r="329" spans="5:13" x14ac:dyDescent="0.3">
      <c r="E329" s="70">
        <v>299</v>
      </c>
      <c r="F329" s="70">
        <f t="shared" si="9"/>
        <v>1495</v>
      </c>
      <c r="G329" s="70">
        <v>29.6999999999999</v>
      </c>
      <c r="K329" s="70">
        <v>299</v>
      </c>
      <c r="L329" s="70">
        <f t="shared" si="10"/>
        <v>598</v>
      </c>
      <c r="M329" s="70">
        <v>29.399999999999899</v>
      </c>
    </row>
    <row r="330" spans="5:13" x14ac:dyDescent="0.3">
      <c r="E330" s="70">
        <v>300</v>
      </c>
      <c r="F330" s="70">
        <f t="shared" si="9"/>
        <v>1500</v>
      </c>
      <c r="G330" s="70">
        <v>29.799999999999901</v>
      </c>
      <c r="K330" s="70">
        <v>300</v>
      </c>
      <c r="L330" s="70">
        <f t="shared" si="10"/>
        <v>600</v>
      </c>
      <c r="M330" s="70">
        <v>29.499999999999901</v>
      </c>
    </row>
    <row r="331" spans="5:13" x14ac:dyDescent="0.3">
      <c r="E331" s="70">
        <v>301</v>
      </c>
      <c r="F331" s="70">
        <f t="shared" si="9"/>
        <v>1505</v>
      </c>
      <c r="G331" s="70">
        <v>29.899999999999899</v>
      </c>
      <c r="K331" s="70">
        <v>301</v>
      </c>
      <c r="L331" s="70">
        <f t="shared" si="10"/>
        <v>602</v>
      </c>
      <c r="M331" s="70">
        <v>29.599999999999898</v>
      </c>
    </row>
    <row r="332" spans="5:13" x14ac:dyDescent="0.3">
      <c r="E332" s="70">
        <v>302</v>
      </c>
      <c r="F332" s="70">
        <f t="shared" si="9"/>
        <v>1510</v>
      </c>
      <c r="G332" s="70">
        <v>29.999999999999901</v>
      </c>
      <c r="K332" s="70">
        <v>302</v>
      </c>
      <c r="L332" s="70">
        <f t="shared" si="10"/>
        <v>604</v>
      </c>
      <c r="M332" s="70">
        <v>29.6999999999999</v>
      </c>
    </row>
    <row r="333" spans="5:13" x14ac:dyDescent="0.3">
      <c r="E333" s="70">
        <v>303</v>
      </c>
      <c r="F333" s="70">
        <f t="shared" si="9"/>
        <v>1515</v>
      </c>
      <c r="G333" s="70">
        <v>30.099999999999898</v>
      </c>
      <c r="K333" s="70">
        <v>303</v>
      </c>
      <c r="L333" s="70">
        <f t="shared" si="10"/>
        <v>606</v>
      </c>
      <c r="M333" s="70">
        <v>29.799999999999901</v>
      </c>
    </row>
    <row r="334" spans="5:13" x14ac:dyDescent="0.3">
      <c r="E334" s="70">
        <v>304</v>
      </c>
      <c r="F334" s="70">
        <f t="shared" si="9"/>
        <v>1520</v>
      </c>
      <c r="G334" s="70">
        <v>30.1999999999999</v>
      </c>
      <c r="K334" s="70">
        <v>304</v>
      </c>
      <c r="L334" s="70">
        <f t="shared" si="10"/>
        <v>608</v>
      </c>
      <c r="M334" s="70">
        <v>29.8999999999998</v>
      </c>
    </row>
    <row r="335" spans="5:13" x14ac:dyDescent="0.3">
      <c r="E335" s="70">
        <v>305</v>
      </c>
      <c r="F335" s="70">
        <f t="shared" si="9"/>
        <v>1525</v>
      </c>
      <c r="G335" s="70">
        <v>30.299999999999901</v>
      </c>
      <c r="K335" s="70">
        <v>305</v>
      </c>
      <c r="L335" s="70">
        <f t="shared" si="10"/>
        <v>610</v>
      </c>
      <c r="M335" s="70">
        <v>29.999999999999801</v>
      </c>
    </row>
    <row r="336" spans="5:13" x14ac:dyDescent="0.3">
      <c r="E336" s="70">
        <v>306</v>
      </c>
      <c r="F336" s="70">
        <f t="shared" si="9"/>
        <v>1530</v>
      </c>
      <c r="G336" s="70">
        <v>30.399999999999899</v>
      </c>
      <c r="K336" s="70">
        <v>306</v>
      </c>
      <c r="L336" s="70">
        <f t="shared" si="10"/>
        <v>612</v>
      </c>
      <c r="M336" s="70">
        <v>30.099999999999799</v>
      </c>
    </row>
    <row r="337" spans="5:13" x14ac:dyDescent="0.3">
      <c r="E337" s="70">
        <v>307</v>
      </c>
      <c r="F337" s="70">
        <f t="shared" si="9"/>
        <v>1535</v>
      </c>
      <c r="G337" s="70">
        <v>30.499999999999901</v>
      </c>
      <c r="K337" s="70">
        <v>307</v>
      </c>
      <c r="L337" s="70">
        <f t="shared" si="10"/>
        <v>614</v>
      </c>
      <c r="M337" s="70">
        <v>30.1999999999998</v>
      </c>
    </row>
    <row r="338" spans="5:13" x14ac:dyDescent="0.3">
      <c r="E338" s="70">
        <v>308</v>
      </c>
      <c r="F338" s="70">
        <f t="shared" si="9"/>
        <v>1540</v>
      </c>
      <c r="G338" s="70">
        <v>30.599999999999898</v>
      </c>
      <c r="K338" s="70">
        <v>308</v>
      </c>
      <c r="L338" s="70">
        <f t="shared" si="10"/>
        <v>616</v>
      </c>
      <c r="M338" s="70">
        <v>30.299999999999802</v>
      </c>
    </row>
    <row r="339" spans="5:13" x14ac:dyDescent="0.3">
      <c r="E339" s="70">
        <v>309</v>
      </c>
      <c r="F339" s="70">
        <f t="shared" si="9"/>
        <v>1545</v>
      </c>
      <c r="G339" s="70">
        <v>30.6999999999999</v>
      </c>
      <c r="K339" s="70">
        <v>309</v>
      </c>
      <c r="L339" s="70">
        <f t="shared" si="10"/>
        <v>618</v>
      </c>
      <c r="M339" s="70">
        <v>30.3999999999998</v>
      </c>
    </row>
    <row r="340" spans="5:13" x14ac:dyDescent="0.3">
      <c r="E340" s="70">
        <v>310</v>
      </c>
      <c r="F340" s="70">
        <f t="shared" si="9"/>
        <v>1550</v>
      </c>
      <c r="G340" s="70">
        <v>30.799999999999901</v>
      </c>
      <c r="K340" s="70">
        <v>310</v>
      </c>
      <c r="L340" s="70">
        <f t="shared" si="10"/>
        <v>620</v>
      </c>
      <c r="M340" s="70">
        <v>30.499999999999801</v>
      </c>
    </row>
    <row r="341" spans="5:13" x14ac:dyDescent="0.3">
      <c r="E341" s="70">
        <v>311</v>
      </c>
      <c r="F341" s="70">
        <f t="shared" si="9"/>
        <v>1555</v>
      </c>
      <c r="G341" s="70">
        <v>30.899999999999899</v>
      </c>
      <c r="K341" s="70">
        <v>311</v>
      </c>
      <c r="L341" s="70">
        <f t="shared" si="10"/>
        <v>622</v>
      </c>
      <c r="M341" s="70">
        <v>30.599999999999799</v>
      </c>
    </row>
    <row r="342" spans="5:13" x14ac:dyDescent="0.3">
      <c r="E342" s="70">
        <v>312</v>
      </c>
      <c r="F342" s="70">
        <f t="shared" si="9"/>
        <v>1560</v>
      </c>
      <c r="G342" s="70">
        <v>31</v>
      </c>
      <c r="K342" s="70">
        <v>312</v>
      </c>
      <c r="L342" s="70">
        <f t="shared" si="10"/>
        <v>624</v>
      </c>
      <c r="M342" s="70">
        <v>30.6999999999998</v>
      </c>
    </row>
    <row r="343" spans="5:13" x14ac:dyDescent="0.3">
      <c r="E343" s="70">
        <v>313</v>
      </c>
      <c r="F343" s="70">
        <f t="shared" si="9"/>
        <v>1565</v>
      </c>
      <c r="G343" s="70">
        <v>31.1</v>
      </c>
      <c r="K343" s="70">
        <v>313</v>
      </c>
      <c r="L343" s="70">
        <f t="shared" si="10"/>
        <v>626</v>
      </c>
      <c r="M343" s="70">
        <v>30.799999999999802</v>
      </c>
    </row>
    <row r="344" spans="5:13" x14ac:dyDescent="0.3">
      <c r="E344" s="70">
        <v>314</v>
      </c>
      <c r="F344" s="70">
        <f t="shared" si="9"/>
        <v>1570</v>
      </c>
      <c r="G344" s="70">
        <v>31.1999999999999</v>
      </c>
      <c r="K344" s="70">
        <v>314</v>
      </c>
      <c r="L344" s="70">
        <f t="shared" si="10"/>
        <v>628</v>
      </c>
      <c r="M344" s="70">
        <v>30.8999999999998</v>
      </c>
    </row>
    <row r="345" spans="5:13" x14ac:dyDescent="0.3">
      <c r="E345" s="70">
        <v>315</v>
      </c>
      <c r="F345" s="70">
        <f t="shared" si="9"/>
        <v>1575</v>
      </c>
      <c r="G345" s="70">
        <v>31.3</v>
      </c>
      <c r="K345" s="70">
        <v>315</v>
      </c>
      <c r="L345" s="70">
        <f t="shared" si="10"/>
        <v>630</v>
      </c>
      <c r="M345" s="70">
        <v>30.999999999999801</v>
      </c>
    </row>
    <row r="346" spans="5:13" x14ac:dyDescent="0.3">
      <c r="E346" s="70">
        <v>316</v>
      </c>
      <c r="F346" s="70">
        <f t="shared" si="9"/>
        <v>1580</v>
      </c>
      <c r="G346" s="70">
        <v>31.399999999999899</v>
      </c>
      <c r="K346" s="70">
        <v>316</v>
      </c>
      <c r="L346" s="70">
        <f t="shared" si="10"/>
        <v>632</v>
      </c>
      <c r="M346" s="70">
        <v>31.099999999999799</v>
      </c>
    </row>
    <row r="347" spans="5:13" x14ac:dyDescent="0.3">
      <c r="E347" s="70">
        <v>317</v>
      </c>
      <c r="F347" s="70">
        <f t="shared" si="9"/>
        <v>1585</v>
      </c>
      <c r="G347" s="70">
        <v>31.5</v>
      </c>
      <c r="K347" s="70">
        <v>317</v>
      </c>
      <c r="L347" s="70">
        <f t="shared" si="10"/>
        <v>634</v>
      </c>
      <c r="M347" s="70">
        <v>31.1999999999998</v>
      </c>
    </row>
    <row r="348" spans="5:13" x14ac:dyDescent="0.3">
      <c r="E348" s="70">
        <v>318</v>
      </c>
      <c r="F348" s="70">
        <f t="shared" si="9"/>
        <v>1590</v>
      </c>
      <c r="G348" s="70">
        <v>31.6</v>
      </c>
      <c r="K348" s="70">
        <v>318</v>
      </c>
      <c r="L348" s="70">
        <f t="shared" si="10"/>
        <v>636</v>
      </c>
      <c r="M348" s="70">
        <v>31.299999999999802</v>
      </c>
    </row>
    <row r="349" spans="5:13" x14ac:dyDescent="0.3">
      <c r="E349" s="70">
        <v>319</v>
      </c>
      <c r="F349" s="70">
        <f t="shared" si="9"/>
        <v>1595</v>
      </c>
      <c r="G349" s="70">
        <v>31.7</v>
      </c>
      <c r="K349" s="70">
        <v>319</v>
      </c>
      <c r="L349" s="70">
        <f t="shared" si="10"/>
        <v>638</v>
      </c>
      <c r="M349" s="70">
        <v>31.3999999999998</v>
      </c>
    </row>
    <row r="350" spans="5:13" x14ac:dyDescent="0.3">
      <c r="E350" s="70">
        <v>320</v>
      </c>
      <c r="F350" s="70">
        <f t="shared" si="9"/>
        <v>1600</v>
      </c>
      <c r="G350" s="70">
        <v>31.8</v>
      </c>
      <c r="K350" s="70">
        <v>320</v>
      </c>
      <c r="L350" s="70">
        <f t="shared" si="10"/>
        <v>640</v>
      </c>
      <c r="M350" s="70">
        <v>31.499999999999801</v>
      </c>
    </row>
    <row r="351" spans="5:13" x14ac:dyDescent="0.3">
      <c r="E351" s="70">
        <v>321</v>
      </c>
      <c r="F351" s="70">
        <f t="shared" si="9"/>
        <v>1605</v>
      </c>
      <c r="G351" s="70">
        <v>31.9</v>
      </c>
      <c r="K351" s="70">
        <v>321</v>
      </c>
      <c r="L351" s="70">
        <f t="shared" si="10"/>
        <v>642</v>
      </c>
      <c r="M351" s="70">
        <v>31.599999999999799</v>
      </c>
    </row>
    <row r="352" spans="5:13" x14ac:dyDescent="0.3">
      <c r="E352" s="70">
        <v>322</v>
      </c>
      <c r="F352" s="70">
        <f t="shared" si="9"/>
        <v>1610</v>
      </c>
      <c r="G352" s="70">
        <v>32</v>
      </c>
      <c r="K352" s="70">
        <v>322</v>
      </c>
      <c r="L352" s="70">
        <f t="shared" si="10"/>
        <v>644</v>
      </c>
      <c r="M352" s="70">
        <v>31.6999999999998</v>
      </c>
    </row>
    <row r="353" spans="5:13" x14ac:dyDescent="0.3">
      <c r="E353" s="70">
        <v>323</v>
      </c>
      <c r="F353" s="70">
        <f t="shared" ref="F353:F416" si="11">+F352+$F$27</f>
        <v>1615</v>
      </c>
      <c r="G353" s="70">
        <v>32.1</v>
      </c>
      <c r="K353" s="70">
        <v>323</v>
      </c>
      <c r="L353" s="70">
        <f t="shared" ref="L353:L416" si="12">+L352+$L$27</f>
        <v>646</v>
      </c>
      <c r="M353" s="70">
        <v>31.799999999999802</v>
      </c>
    </row>
    <row r="354" spans="5:13" x14ac:dyDescent="0.3">
      <c r="E354" s="70">
        <v>324</v>
      </c>
      <c r="F354" s="70">
        <f t="shared" si="11"/>
        <v>1620</v>
      </c>
      <c r="G354" s="70">
        <v>32.200000000000003</v>
      </c>
      <c r="K354" s="70">
        <v>324</v>
      </c>
      <c r="L354" s="70">
        <f t="shared" si="12"/>
        <v>648</v>
      </c>
      <c r="M354" s="70">
        <v>31.8999999999998</v>
      </c>
    </row>
    <row r="355" spans="5:13" x14ac:dyDescent="0.3">
      <c r="E355" s="70">
        <v>325</v>
      </c>
      <c r="F355" s="70">
        <f t="shared" si="11"/>
        <v>1625</v>
      </c>
      <c r="G355" s="70">
        <v>32.299999999999997</v>
      </c>
      <c r="K355" s="70">
        <v>325</v>
      </c>
      <c r="L355" s="70">
        <f t="shared" si="12"/>
        <v>650</v>
      </c>
      <c r="M355" s="70">
        <v>31.999999999999801</v>
      </c>
    </row>
    <row r="356" spans="5:13" x14ac:dyDescent="0.3">
      <c r="E356" s="70">
        <v>326</v>
      </c>
      <c r="F356" s="70">
        <f t="shared" si="11"/>
        <v>1630</v>
      </c>
      <c r="G356" s="70">
        <v>32.4</v>
      </c>
      <c r="K356" s="70">
        <v>326</v>
      </c>
      <c r="L356" s="70">
        <f t="shared" si="12"/>
        <v>652</v>
      </c>
      <c r="M356" s="70">
        <v>32.099999999999802</v>
      </c>
    </row>
    <row r="357" spans="5:13" x14ac:dyDescent="0.3">
      <c r="E357" s="70">
        <v>327</v>
      </c>
      <c r="F357" s="70">
        <f t="shared" si="11"/>
        <v>1635</v>
      </c>
      <c r="G357" s="70">
        <v>32.5</v>
      </c>
      <c r="K357" s="70">
        <v>327</v>
      </c>
      <c r="L357" s="70">
        <f t="shared" si="12"/>
        <v>654</v>
      </c>
      <c r="M357" s="70">
        <v>32.199999999999797</v>
      </c>
    </row>
    <row r="358" spans="5:13" x14ac:dyDescent="0.3">
      <c r="E358" s="70">
        <v>328</v>
      </c>
      <c r="F358" s="70">
        <f t="shared" si="11"/>
        <v>1640</v>
      </c>
      <c r="G358" s="70">
        <v>32.6</v>
      </c>
      <c r="K358" s="70">
        <v>328</v>
      </c>
      <c r="L358" s="70">
        <f t="shared" si="12"/>
        <v>656</v>
      </c>
      <c r="M358" s="70">
        <v>32.299999999999798</v>
      </c>
    </row>
    <row r="359" spans="5:13" x14ac:dyDescent="0.3">
      <c r="E359" s="70">
        <v>329</v>
      </c>
      <c r="F359" s="70">
        <f t="shared" si="11"/>
        <v>1645</v>
      </c>
      <c r="G359" s="70">
        <v>32.700000000000003</v>
      </c>
      <c r="K359" s="70">
        <v>329</v>
      </c>
      <c r="L359" s="70">
        <f t="shared" si="12"/>
        <v>658</v>
      </c>
      <c r="M359" s="70">
        <v>32.3999999999998</v>
      </c>
    </row>
    <row r="360" spans="5:13" x14ac:dyDescent="0.3">
      <c r="E360" s="70">
        <v>330</v>
      </c>
      <c r="F360" s="70">
        <f t="shared" si="11"/>
        <v>1650</v>
      </c>
      <c r="G360" s="70">
        <v>32.799999999999997</v>
      </c>
      <c r="K360" s="70">
        <v>330</v>
      </c>
      <c r="L360" s="70">
        <f t="shared" si="12"/>
        <v>660</v>
      </c>
      <c r="M360" s="70">
        <v>32.499999999999801</v>
      </c>
    </row>
    <row r="361" spans="5:13" x14ac:dyDescent="0.3">
      <c r="E361" s="70">
        <v>331</v>
      </c>
      <c r="F361" s="70">
        <f t="shared" si="11"/>
        <v>1655</v>
      </c>
      <c r="G361" s="70">
        <v>32.9</v>
      </c>
      <c r="K361" s="70">
        <v>331</v>
      </c>
      <c r="L361" s="70">
        <f t="shared" si="12"/>
        <v>662</v>
      </c>
      <c r="M361" s="70">
        <v>32.599999999999802</v>
      </c>
    </row>
    <row r="362" spans="5:13" x14ac:dyDescent="0.3">
      <c r="E362" s="70">
        <v>332</v>
      </c>
      <c r="F362" s="70">
        <f t="shared" si="11"/>
        <v>1660</v>
      </c>
      <c r="G362" s="70">
        <v>33</v>
      </c>
      <c r="K362" s="70">
        <v>332</v>
      </c>
      <c r="L362" s="70">
        <f t="shared" si="12"/>
        <v>664</v>
      </c>
      <c r="M362" s="70">
        <v>32.699999999999797</v>
      </c>
    </row>
    <row r="363" spans="5:13" x14ac:dyDescent="0.3">
      <c r="E363" s="70">
        <v>333</v>
      </c>
      <c r="F363" s="70">
        <f t="shared" si="11"/>
        <v>1665</v>
      </c>
      <c r="G363" s="70">
        <v>33.1</v>
      </c>
      <c r="K363" s="70">
        <v>333</v>
      </c>
      <c r="L363" s="70">
        <f t="shared" si="12"/>
        <v>666</v>
      </c>
      <c r="M363" s="70">
        <v>32.799999999999798</v>
      </c>
    </row>
    <row r="364" spans="5:13" x14ac:dyDescent="0.3">
      <c r="E364" s="70">
        <v>334</v>
      </c>
      <c r="F364" s="70">
        <f t="shared" si="11"/>
        <v>1670</v>
      </c>
      <c r="G364" s="70">
        <v>33.200000000000003</v>
      </c>
      <c r="K364" s="70">
        <v>334</v>
      </c>
      <c r="L364" s="70">
        <f t="shared" si="12"/>
        <v>668</v>
      </c>
      <c r="M364" s="70">
        <v>32.8999999999998</v>
      </c>
    </row>
    <row r="365" spans="5:13" x14ac:dyDescent="0.3">
      <c r="E365" s="70">
        <v>335</v>
      </c>
      <c r="F365" s="70">
        <f t="shared" si="11"/>
        <v>1675</v>
      </c>
      <c r="G365" s="70">
        <v>33.299999999999997</v>
      </c>
      <c r="K365" s="70">
        <v>335</v>
      </c>
      <c r="L365" s="70">
        <f t="shared" si="12"/>
        <v>670</v>
      </c>
      <c r="M365" s="70">
        <v>32.999999999999801</v>
      </c>
    </row>
    <row r="366" spans="5:13" x14ac:dyDescent="0.3">
      <c r="E366" s="70">
        <v>336</v>
      </c>
      <c r="F366" s="70">
        <f t="shared" si="11"/>
        <v>1680</v>
      </c>
      <c r="G366" s="70">
        <v>33.4</v>
      </c>
      <c r="K366" s="70">
        <v>336</v>
      </c>
      <c r="L366" s="70">
        <f t="shared" si="12"/>
        <v>672</v>
      </c>
      <c r="M366" s="70">
        <v>33.099999999999802</v>
      </c>
    </row>
    <row r="367" spans="5:13" x14ac:dyDescent="0.3">
      <c r="E367" s="70">
        <v>337</v>
      </c>
      <c r="F367" s="70">
        <f t="shared" si="11"/>
        <v>1685</v>
      </c>
      <c r="G367" s="70">
        <v>33.5</v>
      </c>
      <c r="K367" s="70">
        <v>337</v>
      </c>
      <c r="L367" s="70">
        <f t="shared" si="12"/>
        <v>674</v>
      </c>
      <c r="M367" s="70">
        <v>33.199999999999797</v>
      </c>
    </row>
    <row r="368" spans="5:13" x14ac:dyDescent="0.3">
      <c r="E368" s="70">
        <v>338</v>
      </c>
      <c r="F368" s="70">
        <f t="shared" si="11"/>
        <v>1690</v>
      </c>
      <c r="G368" s="70">
        <v>33.6</v>
      </c>
      <c r="K368" s="70">
        <v>338</v>
      </c>
      <c r="L368" s="70">
        <f t="shared" si="12"/>
        <v>676</v>
      </c>
      <c r="M368" s="70">
        <v>33.299999999999798</v>
      </c>
    </row>
    <row r="369" spans="5:13" x14ac:dyDescent="0.3">
      <c r="E369" s="70">
        <v>339</v>
      </c>
      <c r="F369" s="70">
        <f t="shared" si="11"/>
        <v>1695</v>
      </c>
      <c r="G369" s="70">
        <v>33.700000000000003</v>
      </c>
      <c r="K369" s="70">
        <v>339</v>
      </c>
      <c r="L369" s="70">
        <f t="shared" si="12"/>
        <v>678</v>
      </c>
      <c r="M369" s="70">
        <v>33.3999999999998</v>
      </c>
    </row>
    <row r="370" spans="5:13" x14ac:dyDescent="0.3">
      <c r="E370" s="70">
        <v>340</v>
      </c>
      <c r="F370" s="70">
        <f t="shared" si="11"/>
        <v>1700</v>
      </c>
      <c r="G370" s="70">
        <v>33.799999999999997</v>
      </c>
      <c r="K370" s="70">
        <v>340</v>
      </c>
      <c r="L370" s="70">
        <f t="shared" si="12"/>
        <v>680</v>
      </c>
      <c r="M370" s="70">
        <v>33.499999999999801</v>
      </c>
    </row>
    <row r="371" spans="5:13" x14ac:dyDescent="0.3">
      <c r="E371" s="70">
        <v>341</v>
      </c>
      <c r="F371" s="70">
        <f t="shared" si="11"/>
        <v>1705</v>
      </c>
      <c r="G371" s="70">
        <v>33.9</v>
      </c>
      <c r="K371" s="70">
        <v>341</v>
      </c>
      <c r="L371" s="70">
        <f t="shared" si="12"/>
        <v>682</v>
      </c>
      <c r="M371" s="70">
        <v>33.599999999999802</v>
      </c>
    </row>
    <row r="372" spans="5:13" x14ac:dyDescent="0.3">
      <c r="E372" s="70">
        <v>342</v>
      </c>
      <c r="F372" s="70">
        <f t="shared" si="11"/>
        <v>1710</v>
      </c>
      <c r="G372" s="70">
        <v>34</v>
      </c>
      <c r="K372" s="70">
        <v>342</v>
      </c>
      <c r="L372" s="70">
        <f t="shared" si="12"/>
        <v>684</v>
      </c>
      <c r="M372" s="70">
        <v>33.699999999999797</v>
      </c>
    </row>
    <row r="373" spans="5:13" x14ac:dyDescent="0.3">
      <c r="E373" s="70">
        <v>343</v>
      </c>
      <c r="F373" s="70">
        <f t="shared" si="11"/>
        <v>1715</v>
      </c>
      <c r="G373" s="70">
        <v>34.1</v>
      </c>
      <c r="K373" s="70">
        <v>343</v>
      </c>
      <c r="L373" s="70">
        <f t="shared" si="12"/>
        <v>686</v>
      </c>
      <c r="M373" s="70">
        <v>33.799999999999798</v>
      </c>
    </row>
    <row r="374" spans="5:13" x14ac:dyDescent="0.3">
      <c r="E374" s="70">
        <v>344</v>
      </c>
      <c r="F374" s="70">
        <f t="shared" si="11"/>
        <v>1720</v>
      </c>
      <c r="G374" s="70">
        <v>34.200000000000003</v>
      </c>
      <c r="K374" s="70">
        <v>344</v>
      </c>
      <c r="L374" s="70">
        <f t="shared" si="12"/>
        <v>688</v>
      </c>
      <c r="M374" s="70">
        <v>33.8999999999998</v>
      </c>
    </row>
    <row r="375" spans="5:13" x14ac:dyDescent="0.3">
      <c r="E375" s="70">
        <v>345</v>
      </c>
      <c r="F375" s="70">
        <f t="shared" si="11"/>
        <v>1725</v>
      </c>
      <c r="G375" s="70">
        <v>34.299999999999997</v>
      </c>
      <c r="K375" s="70">
        <v>345</v>
      </c>
      <c r="L375" s="70">
        <f t="shared" si="12"/>
        <v>690</v>
      </c>
      <c r="M375" s="70">
        <v>33.999999999999801</v>
      </c>
    </row>
    <row r="376" spans="5:13" x14ac:dyDescent="0.3">
      <c r="E376" s="70">
        <v>346</v>
      </c>
      <c r="F376" s="70">
        <f t="shared" si="11"/>
        <v>1730</v>
      </c>
      <c r="G376" s="70">
        <v>34.4</v>
      </c>
      <c r="K376" s="70">
        <v>346</v>
      </c>
      <c r="L376" s="70">
        <f t="shared" si="12"/>
        <v>692</v>
      </c>
      <c r="M376" s="70">
        <v>34.099999999999802</v>
      </c>
    </row>
    <row r="377" spans="5:13" x14ac:dyDescent="0.3">
      <c r="E377" s="70">
        <v>347</v>
      </c>
      <c r="F377" s="70">
        <f t="shared" si="11"/>
        <v>1735</v>
      </c>
      <c r="G377" s="70">
        <v>34.5</v>
      </c>
      <c r="K377" s="70">
        <v>347</v>
      </c>
      <c r="L377" s="70">
        <f t="shared" si="12"/>
        <v>694</v>
      </c>
      <c r="M377" s="70">
        <v>34.199999999999797</v>
      </c>
    </row>
    <row r="378" spans="5:13" x14ac:dyDescent="0.3">
      <c r="E378" s="70">
        <v>348</v>
      </c>
      <c r="F378" s="70">
        <f t="shared" si="11"/>
        <v>1740</v>
      </c>
      <c r="G378" s="70">
        <v>34.6</v>
      </c>
      <c r="K378" s="70">
        <v>348</v>
      </c>
      <c r="L378" s="70">
        <f t="shared" si="12"/>
        <v>696</v>
      </c>
      <c r="M378" s="70">
        <v>34.299999999999699</v>
      </c>
    </row>
    <row r="379" spans="5:13" x14ac:dyDescent="0.3">
      <c r="E379" s="70">
        <v>349</v>
      </c>
      <c r="F379" s="70">
        <f t="shared" si="11"/>
        <v>1745</v>
      </c>
      <c r="G379" s="70">
        <v>34.700000000000003</v>
      </c>
      <c r="K379" s="70">
        <v>349</v>
      </c>
      <c r="L379" s="70">
        <f t="shared" si="12"/>
        <v>698</v>
      </c>
      <c r="M379" s="70">
        <v>34.3999999999997</v>
      </c>
    </row>
    <row r="380" spans="5:13" x14ac:dyDescent="0.3">
      <c r="E380" s="70">
        <v>350</v>
      </c>
      <c r="F380" s="70">
        <f t="shared" si="11"/>
        <v>1750</v>
      </c>
      <c r="G380" s="70">
        <v>34.799999999999997</v>
      </c>
      <c r="K380" s="70">
        <v>350</v>
      </c>
      <c r="L380" s="70">
        <f t="shared" si="12"/>
        <v>700</v>
      </c>
      <c r="M380" s="70">
        <v>34.499999999999801</v>
      </c>
    </row>
    <row r="381" spans="5:13" x14ac:dyDescent="0.3">
      <c r="E381" s="70">
        <v>351</v>
      </c>
      <c r="F381" s="70">
        <f t="shared" si="11"/>
        <v>1755</v>
      </c>
      <c r="G381" s="70">
        <v>34.9</v>
      </c>
      <c r="K381" s="70">
        <v>351</v>
      </c>
      <c r="L381" s="70">
        <f t="shared" si="12"/>
        <v>702</v>
      </c>
      <c r="M381" s="70">
        <v>34.599999999999703</v>
      </c>
    </row>
    <row r="382" spans="5:13" x14ac:dyDescent="0.3">
      <c r="E382" s="70">
        <v>352</v>
      </c>
      <c r="F382" s="70">
        <f t="shared" si="11"/>
        <v>1760</v>
      </c>
      <c r="G382" s="70">
        <v>35</v>
      </c>
      <c r="K382" s="70">
        <v>352</v>
      </c>
      <c r="L382" s="70">
        <f t="shared" si="12"/>
        <v>704</v>
      </c>
      <c r="M382" s="70">
        <v>34.699999999999697</v>
      </c>
    </row>
    <row r="383" spans="5:13" x14ac:dyDescent="0.3">
      <c r="E383" s="70">
        <v>353</v>
      </c>
      <c r="F383" s="70">
        <f t="shared" si="11"/>
        <v>1765</v>
      </c>
      <c r="G383" s="70">
        <v>35.1</v>
      </c>
      <c r="K383" s="70">
        <v>353</v>
      </c>
      <c r="L383" s="70">
        <f t="shared" si="12"/>
        <v>706</v>
      </c>
      <c r="M383" s="70">
        <v>34.799999999999699</v>
      </c>
    </row>
    <row r="384" spans="5:13" x14ac:dyDescent="0.3">
      <c r="E384" s="70">
        <v>354</v>
      </c>
      <c r="F384" s="70">
        <f t="shared" si="11"/>
        <v>1770</v>
      </c>
      <c r="G384" s="70">
        <v>35.200000000000003</v>
      </c>
      <c r="K384" s="70">
        <v>354</v>
      </c>
      <c r="L384" s="70">
        <f t="shared" si="12"/>
        <v>708</v>
      </c>
      <c r="M384" s="70">
        <v>34.8999999999997</v>
      </c>
    </row>
    <row r="385" spans="5:13" x14ac:dyDescent="0.3">
      <c r="E385" s="70">
        <v>355</v>
      </c>
      <c r="F385" s="70">
        <f t="shared" si="11"/>
        <v>1775</v>
      </c>
      <c r="G385" s="70">
        <v>35.299999999999997</v>
      </c>
      <c r="K385" s="70">
        <v>355</v>
      </c>
      <c r="L385" s="70">
        <f t="shared" si="12"/>
        <v>710</v>
      </c>
      <c r="M385" s="70">
        <v>34.999999999999702</v>
      </c>
    </row>
    <row r="386" spans="5:13" x14ac:dyDescent="0.3">
      <c r="E386" s="70">
        <v>356</v>
      </c>
      <c r="F386" s="70">
        <f t="shared" si="11"/>
        <v>1780</v>
      </c>
      <c r="G386" s="70">
        <v>35.4</v>
      </c>
      <c r="K386" s="70">
        <v>356</v>
      </c>
      <c r="L386" s="70">
        <f t="shared" si="12"/>
        <v>712</v>
      </c>
      <c r="M386" s="70">
        <v>35.099999999999703</v>
      </c>
    </row>
    <row r="387" spans="5:13" x14ac:dyDescent="0.3">
      <c r="E387" s="70">
        <v>357</v>
      </c>
      <c r="F387" s="70">
        <f t="shared" si="11"/>
        <v>1785</v>
      </c>
      <c r="G387" s="70">
        <v>35.5</v>
      </c>
      <c r="K387" s="70">
        <v>357</v>
      </c>
      <c r="L387" s="70">
        <f t="shared" si="12"/>
        <v>714</v>
      </c>
      <c r="M387" s="70">
        <v>35.199999999999697</v>
      </c>
    </row>
    <row r="388" spans="5:13" x14ac:dyDescent="0.3">
      <c r="E388" s="70">
        <v>358</v>
      </c>
      <c r="F388" s="70">
        <f t="shared" si="11"/>
        <v>1790</v>
      </c>
      <c r="G388" s="70">
        <v>35.6</v>
      </c>
      <c r="K388" s="70">
        <v>358</v>
      </c>
      <c r="L388" s="70">
        <f t="shared" si="12"/>
        <v>716</v>
      </c>
      <c r="M388" s="70">
        <v>35.299999999999699</v>
      </c>
    </row>
    <row r="389" spans="5:13" x14ac:dyDescent="0.3">
      <c r="E389" s="70">
        <v>359</v>
      </c>
      <c r="F389" s="70">
        <f t="shared" si="11"/>
        <v>1795</v>
      </c>
      <c r="G389" s="70">
        <v>35.700000000000003</v>
      </c>
      <c r="K389" s="70">
        <v>359</v>
      </c>
      <c r="L389" s="70">
        <f t="shared" si="12"/>
        <v>718</v>
      </c>
      <c r="M389" s="70">
        <v>35.3999999999997</v>
      </c>
    </row>
    <row r="390" spans="5:13" x14ac:dyDescent="0.3">
      <c r="E390" s="70">
        <v>360</v>
      </c>
      <c r="F390" s="70">
        <f t="shared" si="11"/>
        <v>1800</v>
      </c>
      <c r="G390" s="70">
        <v>35.799999999999997</v>
      </c>
      <c r="K390" s="70">
        <v>360</v>
      </c>
      <c r="L390" s="70">
        <f t="shared" si="12"/>
        <v>720</v>
      </c>
      <c r="M390" s="70">
        <v>35.499999999999702</v>
      </c>
    </row>
    <row r="391" spans="5:13" x14ac:dyDescent="0.3">
      <c r="E391" s="70">
        <v>361</v>
      </c>
      <c r="F391" s="70">
        <f t="shared" si="11"/>
        <v>1805</v>
      </c>
      <c r="G391" s="70">
        <v>35.9</v>
      </c>
      <c r="K391" s="70">
        <v>361</v>
      </c>
      <c r="L391" s="70">
        <f t="shared" si="12"/>
        <v>722</v>
      </c>
      <c r="M391" s="70">
        <v>35.599999999999703</v>
      </c>
    </row>
    <row r="392" spans="5:13" x14ac:dyDescent="0.3">
      <c r="E392" s="70">
        <v>362</v>
      </c>
      <c r="F392" s="70">
        <f t="shared" si="11"/>
        <v>1810</v>
      </c>
      <c r="G392" s="70">
        <v>36</v>
      </c>
      <c r="K392" s="70">
        <v>362</v>
      </c>
      <c r="L392" s="70">
        <f t="shared" si="12"/>
        <v>724</v>
      </c>
      <c r="M392" s="70">
        <v>35.699999999999697</v>
      </c>
    </row>
    <row r="393" spans="5:13" x14ac:dyDescent="0.3">
      <c r="E393" s="70">
        <v>363</v>
      </c>
      <c r="F393" s="70">
        <f t="shared" si="11"/>
        <v>1815</v>
      </c>
      <c r="G393" s="70">
        <v>36.1</v>
      </c>
      <c r="K393" s="70">
        <v>363</v>
      </c>
      <c r="L393" s="70">
        <f t="shared" si="12"/>
        <v>726</v>
      </c>
      <c r="M393" s="70">
        <v>35.799999999999699</v>
      </c>
    </row>
    <row r="394" spans="5:13" x14ac:dyDescent="0.3">
      <c r="E394" s="70">
        <v>364</v>
      </c>
      <c r="F394" s="70">
        <f t="shared" si="11"/>
        <v>1820</v>
      </c>
      <c r="G394" s="70">
        <v>36.200000000000003</v>
      </c>
      <c r="K394" s="70">
        <v>364</v>
      </c>
      <c r="L394" s="70">
        <f t="shared" si="12"/>
        <v>728</v>
      </c>
      <c r="M394" s="70">
        <v>35.8999999999997</v>
      </c>
    </row>
    <row r="395" spans="5:13" x14ac:dyDescent="0.3">
      <c r="E395" s="70">
        <v>365</v>
      </c>
      <c r="F395" s="70">
        <f t="shared" si="11"/>
        <v>1825</v>
      </c>
      <c r="G395" s="70">
        <v>36.299999999999997</v>
      </c>
      <c r="K395" s="70">
        <v>365</v>
      </c>
      <c r="L395" s="70">
        <f t="shared" si="12"/>
        <v>730</v>
      </c>
      <c r="M395" s="70">
        <v>35.999999999999702</v>
      </c>
    </row>
    <row r="396" spans="5:13" x14ac:dyDescent="0.3">
      <c r="E396" s="70">
        <v>366</v>
      </c>
      <c r="F396" s="70">
        <f t="shared" si="11"/>
        <v>1830</v>
      </c>
      <c r="G396" s="70">
        <v>36.4</v>
      </c>
      <c r="K396" s="70">
        <v>366</v>
      </c>
      <c r="L396" s="70">
        <f t="shared" si="12"/>
        <v>732</v>
      </c>
      <c r="M396" s="70">
        <v>36.099999999999703</v>
      </c>
    </row>
    <row r="397" spans="5:13" x14ac:dyDescent="0.3">
      <c r="E397" s="70">
        <v>367</v>
      </c>
      <c r="F397" s="70">
        <f t="shared" si="11"/>
        <v>1835</v>
      </c>
      <c r="G397" s="70">
        <v>36.5</v>
      </c>
      <c r="K397" s="70">
        <v>367</v>
      </c>
      <c r="L397" s="70">
        <f t="shared" si="12"/>
        <v>734</v>
      </c>
      <c r="M397" s="70">
        <v>36.199999999999697</v>
      </c>
    </row>
    <row r="398" spans="5:13" x14ac:dyDescent="0.3">
      <c r="E398" s="70">
        <v>368</v>
      </c>
      <c r="F398" s="70">
        <f t="shared" si="11"/>
        <v>1840</v>
      </c>
      <c r="G398" s="70">
        <v>36.6</v>
      </c>
      <c r="K398" s="70">
        <v>368</v>
      </c>
      <c r="L398" s="70">
        <f t="shared" si="12"/>
        <v>736</v>
      </c>
      <c r="M398" s="70">
        <v>36.299999999999699</v>
      </c>
    </row>
    <row r="399" spans="5:13" x14ac:dyDescent="0.3">
      <c r="E399" s="70">
        <v>369</v>
      </c>
      <c r="F399" s="70">
        <f t="shared" si="11"/>
        <v>1845</v>
      </c>
      <c r="G399" s="70">
        <v>36.700000000000003</v>
      </c>
      <c r="K399" s="70">
        <v>369</v>
      </c>
      <c r="L399" s="70">
        <f t="shared" si="12"/>
        <v>738</v>
      </c>
      <c r="M399" s="70">
        <v>36.3999999999997</v>
      </c>
    </row>
    <row r="400" spans="5:13" x14ac:dyDescent="0.3">
      <c r="E400" s="70">
        <v>370</v>
      </c>
      <c r="F400" s="70">
        <f t="shared" si="11"/>
        <v>1850</v>
      </c>
      <c r="G400" s="70">
        <v>36.799999999999997</v>
      </c>
      <c r="K400" s="70">
        <v>370</v>
      </c>
      <c r="L400" s="70">
        <f t="shared" si="12"/>
        <v>740</v>
      </c>
      <c r="M400" s="70">
        <v>36.499999999999702</v>
      </c>
    </row>
    <row r="401" spans="5:13" x14ac:dyDescent="0.3">
      <c r="E401" s="70">
        <v>371</v>
      </c>
      <c r="F401" s="70">
        <f t="shared" si="11"/>
        <v>1855</v>
      </c>
      <c r="G401" s="70">
        <v>36.9</v>
      </c>
      <c r="K401" s="70">
        <v>371</v>
      </c>
      <c r="L401" s="70">
        <f t="shared" si="12"/>
        <v>742</v>
      </c>
      <c r="M401" s="70">
        <v>36.599999999999703</v>
      </c>
    </row>
    <row r="402" spans="5:13" x14ac:dyDescent="0.3">
      <c r="E402" s="70">
        <v>372</v>
      </c>
      <c r="F402" s="70">
        <f t="shared" si="11"/>
        <v>1860</v>
      </c>
      <c r="G402" s="70">
        <v>37</v>
      </c>
      <c r="K402" s="70">
        <v>372</v>
      </c>
      <c r="L402" s="70">
        <f t="shared" si="12"/>
        <v>744</v>
      </c>
      <c r="M402" s="70">
        <v>36.699999999999697</v>
      </c>
    </row>
    <row r="403" spans="5:13" x14ac:dyDescent="0.3">
      <c r="E403" s="70">
        <v>373</v>
      </c>
      <c r="F403" s="70">
        <f t="shared" si="11"/>
        <v>1865</v>
      </c>
      <c r="G403" s="70">
        <v>37.1</v>
      </c>
      <c r="K403" s="70">
        <v>373</v>
      </c>
      <c r="L403" s="70">
        <f t="shared" si="12"/>
        <v>746</v>
      </c>
      <c r="M403" s="70">
        <v>36.799999999999699</v>
      </c>
    </row>
    <row r="404" spans="5:13" x14ac:dyDescent="0.3">
      <c r="E404" s="70">
        <v>374</v>
      </c>
      <c r="F404" s="70">
        <f t="shared" si="11"/>
        <v>1870</v>
      </c>
      <c r="G404" s="70">
        <v>37.200000000000003</v>
      </c>
      <c r="K404" s="70">
        <v>374</v>
      </c>
      <c r="L404" s="70">
        <f t="shared" si="12"/>
        <v>748</v>
      </c>
      <c r="M404" s="70">
        <v>36.8999999999997</v>
      </c>
    </row>
    <row r="405" spans="5:13" x14ac:dyDescent="0.3">
      <c r="E405" s="70">
        <v>375</v>
      </c>
      <c r="F405" s="70">
        <f t="shared" si="11"/>
        <v>1875</v>
      </c>
      <c r="G405" s="70">
        <v>37.299999999999997</v>
      </c>
      <c r="K405" s="70">
        <v>375</v>
      </c>
      <c r="L405" s="70">
        <f t="shared" si="12"/>
        <v>750</v>
      </c>
      <c r="M405" s="70">
        <v>36.999999999999702</v>
      </c>
    </row>
    <row r="406" spans="5:13" x14ac:dyDescent="0.3">
      <c r="E406" s="70">
        <v>376</v>
      </c>
      <c r="F406" s="70">
        <f t="shared" si="11"/>
        <v>1880</v>
      </c>
      <c r="G406" s="70">
        <v>37.4</v>
      </c>
      <c r="K406" s="70">
        <v>376</v>
      </c>
      <c r="L406" s="70">
        <f t="shared" si="12"/>
        <v>752</v>
      </c>
      <c r="M406" s="70">
        <v>37.099999999999703</v>
      </c>
    </row>
    <row r="407" spans="5:13" x14ac:dyDescent="0.3">
      <c r="E407" s="70">
        <v>377</v>
      </c>
      <c r="F407" s="70">
        <f t="shared" si="11"/>
        <v>1885</v>
      </c>
      <c r="G407" s="70">
        <v>37.5</v>
      </c>
      <c r="K407" s="70">
        <v>377</v>
      </c>
      <c r="L407" s="70">
        <f t="shared" si="12"/>
        <v>754</v>
      </c>
      <c r="M407" s="70">
        <v>37.199999999999697</v>
      </c>
    </row>
    <row r="408" spans="5:13" x14ac:dyDescent="0.3">
      <c r="E408" s="70">
        <v>378</v>
      </c>
      <c r="F408" s="70">
        <f t="shared" si="11"/>
        <v>1890</v>
      </c>
      <c r="G408" s="70">
        <v>37.6</v>
      </c>
      <c r="K408" s="70">
        <v>378</v>
      </c>
      <c r="L408" s="70">
        <f t="shared" si="12"/>
        <v>756</v>
      </c>
      <c r="M408" s="70">
        <v>37.299999999999699</v>
      </c>
    </row>
    <row r="409" spans="5:13" x14ac:dyDescent="0.3">
      <c r="E409" s="70">
        <v>379</v>
      </c>
      <c r="F409" s="70">
        <f t="shared" si="11"/>
        <v>1895</v>
      </c>
      <c r="G409" s="70">
        <v>37.700000000000003</v>
      </c>
      <c r="K409" s="70">
        <v>379</v>
      </c>
      <c r="L409" s="70">
        <f t="shared" si="12"/>
        <v>758</v>
      </c>
      <c r="M409" s="70">
        <v>37.3999999999997</v>
      </c>
    </row>
    <row r="410" spans="5:13" x14ac:dyDescent="0.3">
      <c r="E410" s="70">
        <v>380</v>
      </c>
      <c r="F410" s="70">
        <f t="shared" si="11"/>
        <v>1900</v>
      </c>
      <c r="G410" s="70">
        <v>37.799999999999997</v>
      </c>
      <c r="K410" s="70">
        <v>380</v>
      </c>
      <c r="L410" s="70">
        <f t="shared" si="12"/>
        <v>760</v>
      </c>
      <c r="M410" s="70">
        <v>37.499999999999702</v>
      </c>
    </row>
    <row r="411" spans="5:13" x14ac:dyDescent="0.3">
      <c r="E411" s="70">
        <v>381</v>
      </c>
      <c r="F411" s="70">
        <f t="shared" si="11"/>
        <v>1905</v>
      </c>
      <c r="G411" s="70">
        <v>37.9</v>
      </c>
      <c r="K411" s="70">
        <v>381</v>
      </c>
      <c r="L411" s="70">
        <f t="shared" si="12"/>
        <v>762</v>
      </c>
      <c r="M411" s="70">
        <v>37.599999999999703</v>
      </c>
    </row>
    <row r="412" spans="5:13" x14ac:dyDescent="0.3">
      <c r="E412" s="70">
        <v>382</v>
      </c>
      <c r="F412" s="70">
        <f t="shared" si="11"/>
        <v>1910</v>
      </c>
      <c r="G412" s="70">
        <v>38</v>
      </c>
      <c r="K412" s="70">
        <v>382</v>
      </c>
      <c r="L412" s="70">
        <f t="shared" si="12"/>
        <v>764</v>
      </c>
      <c r="M412" s="70">
        <v>37.699999999999697</v>
      </c>
    </row>
    <row r="413" spans="5:13" x14ac:dyDescent="0.3">
      <c r="E413" s="70">
        <v>383</v>
      </c>
      <c r="F413" s="70">
        <f t="shared" si="11"/>
        <v>1915</v>
      </c>
      <c r="G413" s="70">
        <v>38.1</v>
      </c>
      <c r="K413" s="70">
        <v>383</v>
      </c>
      <c r="L413" s="70">
        <f t="shared" si="12"/>
        <v>766</v>
      </c>
      <c r="M413" s="70">
        <v>37.799999999999699</v>
      </c>
    </row>
    <row r="414" spans="5:13" x14ac:dyDescent="0.3">
      <c r="E414" s="70">
        <v>384</v>
      </c>
      <c r="F414" s="70">
        <f t="shared" si="11"/>
        <v>1920</v>
      </c>
      <c r="G414" s="70">
        <v>38.200000000000003</v>
      </c>
      <c r="K414" s="70">
        <v>384</v>
      </c>
      <c r="L414" s="70">
        <f t="shared" si="12"/>
        <v>768</v>
      </c>
      <c r="M414" s="70">
        <v>37.8999999999997</v>
      </c>
    </row>
    <row r="415" spans="5:13" x14ac:dyDescent="0.3">
      <c r="E415" s="70">
        <v>385</v>
      </c>
      <c r="F415" s="70">
        <f t="shared" si="11"/>
        <v>1925</v>
      </c>
      <c r="G415" s="70">
        <v>38.300000000000097</v>
      </c>
      <c r="K415" s="70">
        <v>385</v>
      </c>
      <c r="L415" s="70">
        <f t="shared" si="12"/>
        <v>770</v>
      </c>
      <c r="M415" s="70">
        <v>37.999999999999702</v>
      </c>
    </row>
    <row r="416" spans="5:13" x14ac:dyDescent="0.3">
      <c r="E416" s="70">
        <v>386</v>
      </c>
      <c r="F416" s="70">
        <f t="shared" si="11"/>
        <v>1930</v>
      </c>
      <c r="G416" s="70">
        <v>38.400000000000098</v>
      </c>
      <c r="K416" s="70">
        <v>386</v>
      </c>
      <c r="L416" s="70">
        <f t="shared" si="12"/>
        <v>772</v>
      </c>
      <c r="M416" s="70">
        <v>38.099999999999703</v>
      </c>
    </row>
    <row r="417" spans="5:13" x14ac:dyDescent="0.3">
      <c r="E417" s="70">
        <v>387</v>
      </c>
      <c r="F417" s="70">
        <f t="shared" ref="F417:F480" si="13">+F416+$F$27</f>
        <v>1935</v>
      </c>
      <c r="G417" s="70">
        <v>38.500000000000099</v>
      </c>
      <c r="K417" s="70">
        <v>387</v>
      </c>
      <c r="L417" s="70">
        <f t="shared" ref="L417:L480" si="14">+L416+$L$27</f>
        <v>774</v>
      </c>
      <c r="M417" s="70">
        <v>38.199999999999697</v>
      </c>
    </row>
    <row r="418" spans="5:13" x14ac:dyDescent="0.3">
      <c r="E418" s="70">
        <v>388</v>
      </c>
      <c r="F418" s="70">
        <f t="shared" si="13"/>
        <v>1940</v>
      </c>
      <c r="G418" s="70">
        <v>38.600000000000101</v>
      </c>
      <c r="K418" s="70">
        <v>388</v>
      </c>
      <c r="L418" s="70">
        <f t="shared" si="14"/>
        <v>776</v>
      </c>
      <c r="M418" s="70">
        <v>38.299999999999699</v>
      </c>
    </row>
    <row r="419" spans="5:13" x14ac:dyDescent="0.3">
      <c r="E419" s="70">
        <v>389</v>
      </c>
      <c r="F419" s="70">
        <f t="shared" si="13"/>
        <v>1945</v>
      </c>
      <c r="G419" s="70">
        <v>38.700000000000102</v>
      </c>
      <c r="K419" s="70">
        <v>389</v>
      </c>
      <c r="L419" s="70">
        <f t="shared" si="14"/>
        <v>778</v>
      </c>
      <c r="M419" s="70">
        <v>38.3999999999997</v>
      </c>
    </row>
    <row r="420" spans="5:13" x14ac:dyDescent="0.3">
      <c r="E420" s="70">
        <v>390</v>
      </c>
      <c r="F420" s="70">
        <f t="shared" si="13"/>
        <v>1950</v>
      </c>
      <c r="G420" s="70">
        <v>38.800000000000097</v>
      </c>
      <c r="K420" s="70">
        <v>390</v>
      </c>
      <c r="L420" s="70">
        <f t="shared" si="14"/>
        <v>780</v>
      </c>
      <c r="M420" s="70">
        <v>38.499999999999702</v>
      </c>
    </row>
    <row r="421" spans="5:13" x14ac:dyDescent="0.3">
      <c r="E421" s="70">
        <v>391</v>
      </c>
      <c r="F421" s="70">
        <f t="shared" si="13"/>
        <v>1955</v>
      </c>
      <c r="G421" s="70">
        <v>38.900000000000098</v>
      </c>
      <c r="K421" s="70">
        <v>391</v>
      </c>
      <c r="L421" s="70">
        <f t="shared" si="14"/>
        <v>782</v>
      </c>
      <c r="M421" s="70">
        <v>38.599999999999703</v>
      </c>
    </row>
    <row r="422" spans="5:13" x14ac:dyDescent="0.3">
      <c r="E422" s="70">
        <v>392</v>
      </c>
      <c r="F422" s="70">
        <f t="shared" si="13"/>
        <v>1960</v>
      </c>
      <c r="G422" s="70">
        <v>39.000000000000099</v>
      </c>
      <c r="K422" s="70">
        <v>392</v>
      </c>
      <c r="L422" s="70">
        <f t="shared" si="14"/>
        <v>784</v>
      </c>
      <c r="M422" s="70">
        <v>38.699999999999697</v>
      </c>
    </row>
    <row r="423" spans="5:13" x14ac:dyDescent="0.3">
      <c r="E423" s="70">
        <v>393</v>
      </c>
      <c r="F423" s="70">
        <f t="shared" si="13"/>
        <v>1965</v>
      </c>
      <c r="G423" s="70">
        <v>39.100000000000101</v>
      </c>
      <c r="K423" s="70">
        <v>393</v>
      </c>
      <c r="L423" s="70">
        <f t="shared" si="14"/>
        <v>786</v>
      </c>
      <c r="M423" s="70">
        <v>38.799999999999699</v>
      </c>
    </row>
    <row r="424" spans="5:13" x14ac:dyDescent="0.3">
      <c r="E424" s="70">
        <v>394</v>
      </c>
      <c r="F424" s="70">
        <f t="shared" si="13"/>
        <v>1970</v>
      </c>
      <c r="G424" s="70">
        <v>39.200000000000102</v>
      </c>
      <c r="K424" s="70">
        <v>394</v>
      </c>
      <c r="L424" s="70">
        <f t="shared" si="14"/>
        <v>788</v>
      </c>
      <c r="M424" s="70">
        <v>38.8999999999997</v>
      </c>
    </row>
    <row r="425" spans="5:13" x14ac:dyDescent="0.3">
      <c r="E425" s="70">
        <v>395</v>
      </c>
      <c r="F425" s="70">
        <f t="shared" si="13"/>
        <v>1975</v>
      </c>
      <c r="G425" s="70">
        <v>39.300000000000097</v>
      </c>
      <c r="K425" s="70">
        <v>395</v>
      </c>
      <c r="L425" s="70">
        <f t="shared" si="14"/>
        <v>790</v>
      </c>
      <c r="M425" s="70">
        <v>38.999999999999702</v>
      </c>
    </row>
    <row r="426" spans="5:13" x14ac:dyDescent="0.3">
      <c r="E426" s="70">
        <v>396</v>
      </c>
      <c r="F426" s="70">
        <f t="shared" si="13"/>
        <v>1980</v>
      </c>
      <c r="G426" s="70">
        <v>39.400000000000098</v>
      </c>
      <c r="K426" s="70">
        <v>396</v>
      </c>
      <c r="L426" s="70">
        <f t="shared" si="14"/>
        <v>792</v>
      </c>
      <c r="M426" s="70">
        <v>39.099999999999604</v>
      </c>
    </row>
    <row r="427" spans="5:13" x14ac:dyDescent="0.3">
      <c r="E427" s="70">
        <v>397</v>
      </c>
      <c r="F427" s="70">
        <f t="shared" si="13"/>
        <v>1985</v>
      </c>
      <c r="G427" s="70">
        <v>39.500000000000099</v>
      </c>
      <c r="K427" s="70">
        <v>397</v>
      </c>
      <c r="L427" s="70">
        <f t="shared" si="14"/>
        <v>794</v>
      </c>
      <c r="M427" s="70">
        <v>39.199999999999598</v>
      </c>
    </row>
    <row r="428" spans="5:13" x14ac:dyDescent="0.3">
      <c r="E428" s="70">
        <v>398</v>
      </c>
      <c r="F428" s="70">
        <f t="shared" si="13"/>
        <v>1990</v>
      </c>
      <c r="G428" s="70">
        <v>39.600000000000101</v>
      </c>
      <c r="K428" s="70">
        <v>398</v>
      </c>
      <c r="L428" s="70">
        <f t="shared" si="14"/>
        <v>796</v>
      </c>
      <c r="M428" s="70">
        <v>39.299999999999599</v>
      </c>
    </row>
    <row r="429" spans="5:13" x14ac:dyDescent="0.3">
      <c r="E429" s="70">
        <v>399</v>
      </c>
      <c r="F429" s="70">
        <f t="shared" si="13"/>
        <v>1995</v>
      </c>
      <c r="G429" s="70">
        <v>39.700000000000102</v>
      </c>
      <c r="K429" s="70">
        <v>399</v>
      </c>
      <c r="L429" s="70">
        <f t="shared" si="14"/>
        <v>798</v>
      </c>
      <c r="M429" s="70">
        <v>39.399999999999601</v>
      </c>
    </row>
    <row r="430" spans="5:13" x14ac:dyDescent="0.3">
      <c r="E430" s="70">
        <v>400</v>
      </c>
      <c r="F430" s="70">
        <f t="shared" si="13"/>
        <v>2000</v>
      </c>
      <c r="G430" s="70">
        <v>39.800000000000097</v>
      </c>
      <c r="K430" s="70">
        <v>400</v>
      </c>
      <c r="L430" s="70">
        <f t="shared" si="14"/>
        <v>800</v>
      </c>
      <c r="M430" s="70">
        <v>39.499999999999602</v>
      </c>
    </row>
    <row r="431" spans="5:13" x14ac:dyDescent="0.3">
      <c r="E431" s="70">
        <v>401</v>
      </c>
      <c r="F431" s="70">
        <f t="shared" si="13"/>
        <v>2005</v>
      </c>
      <c r="G431" s="70">
        <v>39.900000000000098</v>
      </c>
      <c r="K431" s="70">
        <v>401</v>
      </c>
      <c r="L431" s="70">
        <f t="shared" si="14"/>
        <v>802</v>
      </c>
      <c r="M431" s="70">
        <v>39.599999999999604</v>
      </c>
    </row>
    <row r="432" spans="5:13" x14ac:dyDescent="0.3">
      <c r="E432" s="70">
        <v>402</v>
      </c>
      <c r="F432" s="70">
        <f t="shared" si="13"/>
        <v>2010</v>
      </c>
      <c r="G432" s="70">
        <v>40.000000000000099</v>
      </c>
      <c r="K432" s="70">
        <v>402</v>
      </c>
      <c r="L432" s="70">
        <f t="shared" si="14"/>
        <v>804</v>
      </c>
      <c r="M432" s="70">
        <v>39.699999999999598</v>
      </c>
    </row>
    <row r="433" spans="5:13" x14ac:dyDescent="0.3">
      <c r="E433" s="70">
        <v>403</v>
      </c>
      <c r="F433" s="70">
        <f t="shared" si="13"/>
        <v>2015</v>
      </c>
      <c r="G433" s="70">
        <v>40.100000000000101</v>
      </c>
      <c r="K433" s="70">
        <v>403</v>
      </c>
      <c r="L433" s="70">
        <f t="shared" si="14"/>
        <v>806</v>
      </c>
      <c r="M433" s="70">
        <v>39.799999999999599</v>
      </c>
    </row>
    <row r="434" spans="5:13" x14ac:dyDescent="0.3">
      <c r="E434" s="70">
        <v>404</v>
      </c>
      <c r="F434" s="70">
        <f t="shared" si="13"/>
        <v>2020</v>
      </c>
      <c r="G434" s="70">
        <v>40.200000000000102</v>
      </c>
      <c r="K434" s="70">
        <v>404</v>
      </c>
      <c r="L434" s="70">
        <f t="shared" si="14"/>
        <v>808</v>
      </c>
      <c r="M434" s="70">
        <v>39.899999999999601</v>
      </c>
    </row>
    <row r="435" spans="5:13" x14ac:dyDescent="0.3">
      <c r="E435" s="70">
        <v>405</v>
      </c>
      <c r="F435" s="70">
        <f t="shared" si="13"/>
        <v>2025</v>
      </c>
      <c r="G435" s="70">
        <v>40.300000000000097</v>
      </c>
      <c r="K435" s="70">
        <v>405</v>
      </c>
      <c r="L435" s="70">
        <f t="shared" si="14"/>
        <v>810</v>
      </c>
      <c r="M435" s="70">
        <v>39.999999999999602</v>
      </c>
    </row>
    <row r="436" spans="5:13" x14ac:dyDescent="0.3">
      <c r="E436" s="70">
        <v>406</v>
      </c>
      <c r="F436" s="70">
        <f t="shared" si="13"/>
        <v>2030</v>
      </c>
      <c r="G436" s="70">
        <v>40.400000000000098</v>
      </c>
      <c r="K436" s="70">
        <v>406</v>
      </c>
      <c r="L436" s="70">
        <f t="shared" si="14"/>
        <v>812</v>
      </c>
      <c r="M436" s="70">
        <v>40.099999999999604</v>
      </c>
    </row>
    <row r="437" spans="5:13" x14ac:dyDescent="0.3">
      <c r="E437" s="70">
        <v>407</v>
      </c>
      <c r="F437" s="70">
        <f t="shared" si="13"/>
        <v>2035</v>
      </c>
      <c r="G437" s="70">
        <v>40.500000000000099</v>
      </c>
      <c r="K437" s="70">
        <v>407</v>
      </c>
      <c r="L437" s="70">
        <f t="shared" si="14"/>
        <v>814</v>
      </c>
      <c r="M437" s="70">
        <v>40.199999999999598</v>
      </c>
    </row>
    <row r="438" spans="5:13" x14ac:dyDescent="0.3">
      <c r="E438" s="70">
        <v>408</v>
      </c>
      <c r="F438" s="70">
        <f t="shared" si="13"/>
        <v>2040</v>
      </c>
      <c r="G438" s="70">
        <v>40.600000000000101</v>
      </c>
      <c r="K438" s="70">
        <v>408</v>
      </c>
      <c r="L438" s="70">
        <f t="shared" si="14"/>
        <v>816</v>
      </c>
      <c r="M438" s="70">
        <v>40.299999999999599</v>
      </c>
    </row>
    <row r="439" spans="5:13" x14ac:dyDescent="0.3">
      <c r="E439" s="70">
        <v>409</v>
      </c>
      <c r="F439" s="70">
        <f t="shared" si="13"/>
        <v>2045</v>
      </c>
      <c r="G439" s="70">
        <v>40.700000000000102</v>
      </c>
      <c r="K439" s="70">
        <v>409</v>
      </c>
      <c r="L439" s="70">
        <f t="shared" si="14"/>
        <v>818</v>
      </c>
      <c r="M439" s="70">
        <v>40.399999999999601</v>
      </c>
    </row>
    <row r="440" spans="5:13" x14ac:dyDescent="0.3">
      <c r="E440" s="70">
        <v>410</v>
      </c>
      <c r="F440" s="70">
        <f t="shared" si="13"/>
        <v>2050</v>
      </c>
      <c r="G440" s="70">
        <v>40.800000000000097</v>
      </c>
      <c r="K440" s="70">
        <v>410</v>
      </c>
      <c r="L440" s="70">
        <f t="shared" si="14"/>
        <v>820</v>
      </c>
      <c r="M440" s="70">
        <v>40.499999999999602</v>
      </c>
    </row>
    <row r="441" spans="5:13" x14ac:dyDescent="0.3">
      <c r="E441" s="70">
        <v>411</v>
      </c>
      <c r="F441" s="70">
        <f t="shared" si="13"/>
        <v>2055</v>
      </c>
      <c r="G441" s="70">
        <v>40.900000000000098</v>
      </c>
      <c r="K441" s="70">
        <v>411</v>
      </c>
      <c r="L441" s="70">
        <f t="shared" si="14"/>
        <v>822</v>
      </c>
      <c r="M441" s="70">
        <v>40.599999999999604</v>
      </c>
    </row>
    <row r="442" spans="5:13" x14ac:dyDescent="0.3">
      <c r="E442" s="70">
        <v>412</v>
      </c>
      <c r="F442" s="70">
        <f t="shared" si="13"/>
        <v>2060</v>
      </c>
      <c r="G442" s="70">
        <v>41.000000000000099</v>
      </c>
      <c r="K442" s="70">
        <v>412</v>
      </c>
      <c r="L442" s="70">
        <f t="shared" si="14"/>
        <v>824</v>
      </c>
      <c r="M442" s="70">
        <v>40.699999999999598</v>
      </c>
    </row>
    <row r="443" spans="5:13" x14ac:dyDescent="0.3">
      <c r="E443" s="70">
        <v>413</v>
      </c>
      <c r="F443" s="70">
        <f t="shared" si="13"/>
        <v>2065</v>
      </c>
      <c r="G443" s="70">
        <v>41.100000000000101</v>
      </c>
      <c r="K443" s="70">
        <v>413</v>
      </c>
      <c r="L443" s="70">
        <f t="shared" si="14"/>
        <v>826</v>
      </c>
      <c r="M443" s="70">
        <v>40.799999999999599</v>
      </c>
    </row>
    <row r="444" spans="5:13" x14ac:dyDescent="0.3">
      <c r="E444" s="70">
        <v>414</v>
      </c>
      <c r="F444" s="70">
        <f t="shared" si="13"/>
        <v>2070</v>
      </c>
      <c r="G444" s="70">
        <v>41.200000000000102</v>
      </c>
      <c r="K444" s="70">
        <v>414</v>
      </c>
      <c r="L444" s="70">
        <f t="shared" si="14"/>
        <v>828</v>
      </c>
      <c r="M444" s="70">
        <v>40.899999999999601</v>
      </c>
    </row>
    <row r="445" spans="5:13" x14ac:dyDescent="0.3">
      <c r="E445" s="70">
        <v>415</v>
      </c>
      <c r="F445" s="70">
        <f t="shared" si="13"/>
        <v>2075</v>
      </c>
      <c r="G445" s="70">
        <v>41.300000000000097</v>
      </c>
      <c r="K445" s="70">
        <v>415</v>
      </c>
      <c r="L445" s="70">
        <f t="shared" si="14"/>
        <v>830</v>
      </c>
      <c r="M445" s="70">
        <v>40.999999999999602</v>
      </c>
    </row>
    <row r="446" spans="5:13" x14ac:dyDescent="0.3">
      <c r="E446" s="70">
        <v>416</v>
      </c>
      <c r="F446" s="70">
        <f t="shared" si="13"/>
        <v>2080</v>
      </c>
      <c r="G446" s="70">
        <v>41.400000000000098</v>
      </c>
      <c r="K446" s="70">
        <v>416</v>
      </c>
      <c r="L446" s="70">
        <f t="shared" si="14"/>
        <v>832</v>
      </c>
      <c r="M446" s="70">
        <v>41.099999999999604</v>
      </c>
    </row>
    <row r="447" spans="5:13" x14ac:dyDescent="0.3">
      <c r="E447" s="70">
        <v>417</v>
      </c>
      <c r="F447" s="70">
        <f t="shared" si="13"/>
        <v>2085</v>
      </c>
      <c r="G447" s="70">
        <v>41.500000000000099</v>
      </c>
      <c r="K447" s="70">
        <v>417</v>
      </c>
      <c r="L447" s="70">
        <f t="shared" si="14"/>
        <v>834</v>
      </c>
      <c r="M447" s="70">
        <v>41.199999999999598</v>
      </c>
    </row>
    <row r="448" spans="5:13" x14ac:dyDescent="0.3">
      <c r="E448" s="70">
        <v>418</v>
      </c>
      <c r="F448" s="70">
        <f t="shared" si="13"/>
        <v>2090</v>
      </c>
      <c r="G448" s="70">
        <v>41.600000000000101</v>
      </c>
      <c r="K448" s="70">
        <v>418</v>
      </c>
      <c r="L448" s="70">
        <f t="shared" si="14"/>
        <v>836</v>
      </c>
      <c r="M448" s="70">
        <v>41.299999999999599</v>
      </c>
    </row>
    <row r="449" spans="5:13" x14ac:dyDescent="0.3">
      <c r="E449" s="70">
        <v>419</v>
      </c>
      <c r="F449" s="70">
        <f t="shared" si="13"/>
        <v>2095</v>
      </c>
      <c r="G449" s="70">
        <v>41.700000000000102</v>
      </c>
      <c r="K449" s="70">
        <v>419</v>
      </c>
      <c r="L449" s="70">
        <f t="shared" si="14"/>
        <v>838</v>
      </c>
      <c r="M449" s="70">
        <v>41.399999999999601</v>
      </c>
    </row>
    <row r="450" spans="5:13" x14ac:dyDescent="0.3">
      <c r="E450" s="70">
        <v>420</v>
      </c>
      <c r="F450" s="70">
        <f t="shared" si="13"/>
        <v>2100</v>
      </c>
      <c r="G450" s="70">
        <v>41.800000000000097</v>
      </c>
      <c r="K450" s="70">
        <v>420</v>
      </c>
      <c r="L450" s="70">
        <f t="shared" si="14"/>
        <v>840</v>
      </c>
      <c r="M450" s="70">
        <v>41.499999999999602</v>
      </c>
    </row>
    <row r="451" spans="5:13" x14ac:dyDescent="0.3">
      <c r="E451" s="70">
        <v>421</v>
      </c>
      <c r="F451" s="70">
        <f t="shared" si="13"/>
        <v>2105</v>
      </c>
      <c r="G451" s="70">
        <v>41.900000000000098</v>
      </c>
      <c r="K451" s="70">
        <v>421</v>
      </c>
      <c r="L451" s="70">
        <f t="shared" si="14"/>
        <v>842</v>
      </c>
      <c r="M451" s="70">
        <v>41.599999999999604</v>
      </c>
    </row>
    <row r="452" spans="5:13" x14ac:dyDescent="0.3">
      <c r="E452" s="70">
        <v>422</v>
      </c>
      <c r="F452" s="70">
        <f t="shared" si="13"/>
        <v>2110</v>
      </c>
      <c r="G452" s="70">
        <v>42.000000000000099</v>
      </c>
      <c r="K452" s="70">
        <v>422</v>
      </c>
      <c r="L452" s="70">
        <f t="shared" si="14"/>
        <v>844</v>
      </c>
      <c r="M452" s="70">
        <v>41.699999999999598</v>
      </c>
    </row>
    <row r="453" spans="5:13" x14ac:dyDescent="0.3">
      <c r="E453" s="70">
        <v>423</v>
      </c>
      <c r="F453" s="70">
        <f t="shared" si="13"/>
        <v>2115</v>
      </c>
      <c r="G453" s="70">
        <v>42.100000000000101</v>
      </c>
      <c r="K453" s="70">
        <v>423</v>
      </c>
      <c r="L453" s="70">
        <f t="shared" si="14"/>
        <v>846</v>
      </c>
      <c r="M453" s="70">
        <v>41.799999999999599</v>
      </c>
    </row>
    <row r="454" spans="5:13" x14ac:dyDescent="0.3">
      <c r="E454" s="70">
        <v>424</v>
      </c>
      <c r="F454" s="70">
        <f t="shared" si="13"/>
        <v>2120</v>
      </c>
      <c r="G454" s="70">
        <v>42.200000000000102</v>
      </c>
      <c r="K454" s="70">
        <v>424</v>
      </c>
      <c r="L454" s="70">
        <f t="shared" si="14"/>
        <v>848</v>
      </c>
      <c r="M454" s="70">
        <v>41.899999999999601</v>
      </c>
    </row>
    <row r="455" spans="5:13" x14ac:dyDescent="0.3">
      <c r="E455" s="70">
        <v>425</v>
      </c>
      <c r="F455" s="70">
        <f t="shared" si="13"/>
        <v>2125</v>
      </c>
      <c r="G455" s="70">
        <v>42.300000000000097</v>
      </c>
      <c r="K455" s="70">
        <v>425</v>
      </c>
      <c r="L455" s="70">
        <f t="shared" si="14"/>
        <v>850</v>
      </c>
      <c r="M455" s="70">
        <v>41.999999999999602</v>
      </c>
    </row>
    <row r="456" spans="5:13" x14ac:dyDescent="0.3">
      <c r="E456" s="70">
        <v>426</v>
      </c>
      <c r="F456" s="70">
        <f t="shared" si="13"/>
        <v>2130</v>
      </c>
      <c r="G456" s="70">
        <v>42.400000000000098</v>
      </c>
      <c r="K456" s="70">
        <v>426</v>
      </c>
      <c r="L456" s="70">
        <f t="shared" si="14"/>
        <v>852</v>
      </c>
      <c r="M456" s="70">
        <v>42.099999999999604</v>
      </c>
    </row>
    <row r="457" spans="5:13" x14ac:dyDescent="0.3">
      <c r="E457" s="70">
        <v>427</v>
      </c>
      <c r="F457" s="70">
        <f t="shared" si="13"/>
        <v>2135</v>
      </c>
      <c r="G457" s="70">
        <v>42.500000000000099</v>
      </c>
      <c r="K457" s="70">
        <v>427</v>
      </c>
      <c r="L457" s="70">
        <f t="shared" si="14"/>
        <v>854</v>
      </c>
      <c r="M457" s="70">
        <v>42.199999999999598</v>
      </c>
    </row>
    <row r="458" spans="5:13" x14ac:dyDescent="0.3">
      <c r="E458" s="70">
        <v>428</v>
      </c>
      <c r="F458" s="70">
        <f t="shared" si="13"/>
        <v>2140</v>
      </c>
      <c r="G458" s="70">
        <v>42.600000000000101</v>
      </c>
      <c r="K458" s="70">
        <v>428</v>
      </c>
      <c r="L458" s="70">
        <f t="shared" si="14"/>
        <v>856</v>
      </c>
      <c r="M458" s="70">
        <v>42.299999999999599</v>
      </c>
    </row>
    <row r="459" spans="5:13" x14ac:dyDescent="0.3">
      <c r="E459" s="70">
        <v>429</v>
      </c>
      <c r="F459" s="70">
        <f t="shared" si="13"/>
        <v>2145</v>
      </c>
      <c r="G459" s="70">
        <v>42.700000000000102</v>
      </c>
      <c r="K459" s="70">
        <v>429</v>
      </c>
      <c r="L459" s="70">
        <f t="shared" si="14"/>
        <v>858</v>
      </c>
      <c r="M459" s="70">
        <v>42.399999999999601</v>
      </c>
    </row>
    <row r="460" spans="5:13" x14ac:dyDescent="0.3">
      <c r="E460" s="70">
        <v>430</v>
      </c>
      <c r="F460" s="70">
        <f t="shared" si="13"/>
        <v>2150</v>
      </c>
      <c r="G460" s="70">
        <v>42.800000000000097</v>
      </c>
      <c r="K460" s="70">
        <v>430</v>
      </c>
      <c r="L460" s="70">
        <f t="shared" si="14"/>
        <v>860</v>
      </c>
      <c r="M460" s="70">
        <v>42.499999999999602</v>
      </c>
    </row>
    <row r="461" spans="5:13" x14ac:dyDescent="0.3">
      <c r="E461" s="70">
        <v>431</v>
      </c>
      <c r="F461" s="70">
        <f t="shared" si="13"/>
        <v>2155</v>
      </c>
      <c r="G461" s="70">
        <v>42.900000000000098</v>
      </c>
      <c r="K461" s="70">
        <v>431</v>
      </c>
      <c r="L461" s="70">
        <f t="shared" si="14"/>
        <v>862</v>
      </c>
      <c r="M461" s="70">
        <v>42.599999999999604</v>
      </c>
    </row>
    <row r="462" spans="5:13" x14ac:dyDescent="0.3">
      <c r="E462" s="70">
        <v>432</v>
      </c>
      <c r="F462" s="70">
        <f t="shared" si="13"/>
        <v>2160</v>
      </c>
      <c r="G462" s="70">
        <v>43.000000000000099</v>
      </c>
      <c r="K462" s="70">
        <v>432</v>
      </c>
      <c r="L462" s="70">
        <f t="shared" si="14"/>
        <v>864</v>
      </c>
      <c r="M462" s="70">
        <v>42.699999999999598</v>
      </c>
    </row>
    <row r="463" spans="5:13" x14ac:dyDescent="0.3">
      <c r="E463" s="70">
        <v>433</v>
      </c>
      <c r="F463" s="70">
        <f t="shared" si="13"/>
        <v>2165</v>
      </c>
      <c r="G463" s="70">
        <v>43.100000000000101</v>
      </c>
      <c r="K463" s="70">
        <v>433</v>
      </c>
      <c r="L463" s="70">
        <f t="shared" si="14"/>
        <v>866</v>
      </c>
      <c r="M463" s="70">
        <v>42.799999999999599</v>
      </c>
    </row>
    <row r="464" spans="5:13" x14ac:dyDescent="0.3">
      <c r="E464" s="70">
        <v>434</v>
      </c>
      <c r="F464" s="70">
        <f t="shared" si="13"/>
        <v>2170</v>
      </c>
      <c r="G464" s="70">
        <v>43.200000000000102</v>
      </c>
      <c r="K464" s="70">
        <v>434</v>
      </c>
      <c r="L464" s="70">
        <f t="shared" si="14"/>
        <v>868</v>
      </c>
      <c r="M464" s="70">
        <v>42.899999999999601</v>
      </c>
    </row>
    <row r="465" spans="5:13" x14ac:dyDescent="0.3">
      <c r="E465" s="70">
        <v>435</v>
      </c>
      <c r="F465" s="70">
        <f t="shared" si="13"/>
        <v>2175</v>
      </c>
      <c r="G465" s="70">
        <v>43.300000000000097</v>
      </c>
      <c r="K465" s="70">
        <v>435</v>
      </c>
      <c r="L465" s="70">
        <f t="shared" si="14"/>
        <v>870</v>
      </c>
      <c r="M465" s="70">
        <v>42.999999999999602</v>
      </c>
    </row>
    <row r="466" spans="5:13" x14ac:dyDescent="0.3">
      <c r="E466" s="70">
        <v>436</v>
      </c>
      <c r="F466" s="70">
        <f t="shared" si="13"/>
        <v>2180</v>
      </c>
      <c r="G466" s="70">
        <v>43.400000000000098</v>
      </c>
      <c r="K466" s="70">
        <v>436</v>
      </c>
      <c r="L466" s="70">
        <f t="shared" si="14"/>
        <v>872</v>
      </c>
      <c r="M466" s="70">
        <v>43.099999999999604</v>
      </c>
    </row>
    <row r="467" spans="5:13" x14ac:dyDescent="0.3">
      <c r="E467" s="70">
        <v>437</v>
      </c>
      <c r="F467" s="70">
        <f t="shared" si="13"/>
        <v>2185</v>
      </c>
      <c r="G467" s="70">
        <v>43.500000000000099</v>
      </c>
      <c r="K467" s="70">
        <v>437</v>
      </c>
      <c r="L467" s="70">
        <f t="shared" si="14"/>
        <v>874</v>
      </c>
      <c r="M467" s="70">
        <v>43.199999999999598</v>
      </c>
    </row>
    <row r="468" spans="5:13" x14ac:dyDescent="0.3">
      <c r="E468" s="70">
        <v>438</v>
      </c>
      <c r="F468" s="70">
        <f t="shared" si="13"/>
        <v>2190</v>
      </c>
      <c r="G468" s="70">
        <v>43.600000000000101</v>
      </c>
      <c r="K468" s="70">
        <v>438</v>
      </c>
      <c r="L468" s="70">
        <f t="shared" si="14"/>
        <v>876</v>
      </c>
      <c r="M468" s="70">
        <v>43.299999999999599</v>
      </c>
    </row>
    <row r="469" spans="5:13" x14ac:dyDescent="0.3">
      <c r="E469" s="70">
        <v>439</v>
      </c>
      <c r="F469" s="70">
        <f t="shared" si="13"/>
        <v>2195</v>
      </c>
      <c r="G469" s="70">
        <v>43.700000000000102</v>
      </c>
      <c r="K469" s="70">
        <v>439</v>
      </c>
      <c r="L469" s="70">
        <f t="shared" si="14"/>
        <v>878</v>
      </c>
      <c r="M469" s="70">
        <v>43.399999999999601</v>
      </c>
    </row>
    <row r="470" spans="5:13" x14ac:dyDescent="0.3">
      <c r="E470" s="70">
        <v>440</v>
      </c>
      <c r="F470" s="70">
        <f t="shared" si="13"/>
        <v>2200</v>
      </c>
      <c r="G470" s="70">
        <v>43.800000000000097</v>
      </c>
      <c r="K470" s="70">
        <v>440</v>
      </c>
      <c r="L470" s="70">
        <f t="shared" si="14"/>
        <v>880</v>
      </c>
      <c r="M470" s="70">
        <v>43.499999999999602</v>
      </c>
    </row>
    <row r="471" spans="5:13" x14ac:dyDescent="0.3">
      <c r="E471" s="70">
        <v>441</v>
      </c>
      <c r="F471" s="70">
        <f t="shared" si="13"/>
        <v>2205</v>
      </c>
      <c r="G471" s="70">
        <v>43.900000000000098</v>
      </c>
      <c r="K471" s="70">
        <v>441</v>
      </c>
      <c r="L471" s="70">
        <f t="shared" si="14"/>
        <v>882</v>
      </c>
      <c r="M471" s="70">
        <v>43.599999999999604</v>
      </c>
    </row>
    <row r="472" spans="5:13" x14ac:dyDescent="0.3">
      <c r="E472" s="70">
        <v>442</v>
      </c>
      <c r="F472" s="70">
        <f t="shared" si="13"/>
        <v>2210</v>
      </c>
      <c r="G472" s="70">
        <v>44.000000000000099</v>
      </c>
      <c r="K472" s="70">
        <v>442</v>
      </c>
      <c r="L472" s="70">
        <f t="shared" si="14"/>
        <v>884</v>
      </c>
      <c r="M472" s="70">
        <v>43.699999999999598</v>
      </c>
    </row>
    <row r="473" spans="5:13" x14ac:dyDescent="0.3">
      <c r="E473" s="70">
        <v>443</v>
      </c>
      <c r="F473" s="70">
        <f t="shared" si="13"/>
        <v>2215</v>
      </c>
      <c r="G473" s="70">
        <v>44.100000000000101</v>
      </c>
      <c r="K473" s="70">
        <v>443</v>
      </c>
      <c r="L473" s="70">
        <f t="shared" si="14"/>
        <v>886</v>
      </c>
      <c r="M473" s="70">
        <v>43.7999999999995</v>
      </c>
    </row>
    <row r="474" spans="5:13" x14ac:dyDescent="0.3">
      <c r="E474" s="70">
        <v>444</v>
      </c>
      <c r="F474" s="70">
        <f t="shared" si="13"/>
        <v>2220</v>
      </c>
      <c r="G474" s="70">
        <v>44.200000000000102</v>
      </c>
      <c r="K474" s="70">
        <v>444</v>
      </c>
      <c r="L474" s="70">
        <f t="shared" si="14"/>
        <v>888</v>
      </c>
      <c r="M474" s="70">
        <v>43.899999999999501</v>
      </c>
    </row>
    <row r="475" spans="5:13" x14ac:dyDescent="0.3">
      <c r="E475" s="70">
        <v>445</v>
      </c>
      <c r="F475" s="70">
        <f t="shared" si="13"/>
        <v>2225</v>
      </c>
      <c r="G475" s="70">
        <v>44.300000000000097</v>
      </c>
      <c r="K475" s="70">
        <v>445</v>
      </c>
      <c r="L475" s="70">
        <f t="shared" si="14"/>
        <v>890</v>
      </c>
      <c r="M475" s="70">
        <v>43.999999999999503</v>
      </c>
    </row>
    <row r="476" spans="5:13" x14ac:dyDescent="0.3">
      <c r="E476" s="70">
        <v>446</v>
      </c>
      <c r="F476" s="70">
        <f t="shared" si="13"/>
        <v>2230</v>
      </c>
      <c r="G476" s="70">
        <v>44.400000000000098</v>
      </c>
      <c r="K476" s="70">
        <v>446</v>
      </c>
      <c r="L476" s="70">
        <f t="shared" si="14"/>
        <v>892</v>
      </c>
      <c r="M476" s="70">
        <v>44.099999999999497</v>
      </c>
    </row>
    <row r="477" spans="5:13" x14ac:dyDescent="0.3">
      <c r="E477" s="70">
        <v>447</v>
      </c>
      <c r="F477" s="70">
        <f t="shared" si="13"/>
        <v>2235</v>
      </c>
      <c r="G477" s="70">
        <v>44.500000000000099</v>
      </c>
      <c r="K477" s="70">
        <v>447</v>
      </c>
      <c r="L477" s="70">
        <f t="shared" si="14"/>
        <v>894</v>
      </c>
      <c r="M477" s="70">
        <v>44.199999999999498</v>
      </c>
    </row>
    <row r="478" spans="5:13" x14ac:dyDescent="0.3">
      <c r="E478" s="70">
        <v>448</v>
      </c>
      <c r="F478" s="70">
        <f t="shared" si="13"/>
        <v>2240</v>
      </c>
      <c r="G478" s="70">
        <v>44.600000000000101</v>
      </c>
      <c r="K478" s="70">
        <v>448</v>
      </c>
      <c r="L478" s="70">
        <f t="shared" si="14"/>
        <v>896</v>
      </c>
      <c r="M478" s="70">
        <v>44.2999999999995</v>
      </c>
    </row>
    <row r="479" spans="5:13" x14ac:dyDescent="0.3">
      <c r="E479" s="70">
        <v>449</v>
      </c>
      <c r="F479" s="70">
        <f t="shared" si="13"/>
        <v>2245</v>
      </c>
      <c r="G479" s="70">
        <v>44.700000000000102</v>
      </c>
      <c r="K479" s="70">
        <v>449</v>
      </c>
      <c r="L479" s="70">
        <f t="shared" si="14"/>
        <v>898</v>
      </c>
      <c r="M479" s="70">
        <v>44.399999999999501</v>
      </c>
    </row>
    <row r="480" spans="5:13" x14ac:dyDescent="0.3">
      <c r="E480" s="70">
        <v>450</v>
      </c>
      <c r="F480" s="70">
        <f t="shared" si="13"/>
        <v>2250</v>
      </c>
      <c r="G480" s="70">
        <v>44.800000000000097</v>
      </c>
      <c r="K480" s="70">
        <v>450</v>
      </c>
      <c r="L480" s="70">
        <f t="shared" si="14"/>
        <v>900</v>
      </c>
      <c r="M480" s="70">
        <v>44.499999999999503</v>
      </c>
    </row>
    <row r="481" spans="5:13" x14ac:dyDescent="0.3">
      <c r="E481" s="70">
        <v>451</v>
      </c>
      <c r="F481" s="70">
        <f t="shared" ref="F481:F544" si="15">+F480+$F$27</f>
        <v>2255</v>
      </c>
      <c r="G481" s="70">
        <v>44.900000000000098</v>
      </c>
      <c r="K481" s="70">
        <v>451</v>
      </c>
      <c r="L481" s="70">
        <f t="shared" ref="L481:L544" si="16">+L480+$L$27</f>
        <v>902</v>
      </c>
      <c r="M481" s="70">
        <v>44.599999999999497</v>
      </c>
    </row>
    <row r="482" spans="5:13" x14ac:dyDescent="0.3">
      <c r="E482" s="70">
        <v>452</v>
      </c>
      <c r="F482" s="70">
        <f t="shared" si="15"/>
        <v>2260</v>
      </c>
      <c r="G482" s="70">
        <v>45.000000000000099</v>
      </c>
      <c r="K482" s="70">
        <v>452</v>
      </c>
      <c r="L482" s="70">
        <f t="shared" si="16"/>
        <v>904</v>
      </c>
      <c r="M482" s="70">
        <v>44.699999999999498</v>
      </c>
    </row>
    <row r="483" spans="5:13" x14ac:dyDescent="0.3">
      <c r="E483" s="70">
        <v>453</v>
      </c>
      <c r="F483" s="70">
        <f t="shared" si="15"/>
        <v>2265</v>
      </c>
      <c r="G483" s="70">
        <v>45.100000000000101</v>
      </c>
      <c r="K483" s="70">
        <v>453</v>
      </c>
      <c r="L483" s="70">
        <f t="shared" si="16"/>
        <v>906</v>
      </c>
      <c r="M483" s="70">
        <v>44.7999999999995</v>
      </c>
    </row>
    <row r="484" spans="5:13" x14ac:dyDescent="0.3">
      <c r="E484" s="70">
        <v>454</v>
      </c>
      <c r="F484" s="70">
        <f t="shared" si="15"/>
        <v>2270</v>
      </c>
      <c r="G484" s="70">
        <v>45.200000000000102</v>
      </c>
      <c r="K484" s="70">
        <v>454</v>
      </c>
      <c r="L484" s="70">
        <f t="shared" si="16"/>
        <v>908</v>
      </c>
      <c r="M484" s="70">
        <v>44.899999999999501</v>
      </c>
    </row>
    <row r="485" spans="5:13" x14ac:dyDescent="0.3">
      <c r="E485" s="70">
        <v>455</v>
      </c>
      <c r="F485" s="70">
        <f t="shared" si="15"/>
        <v>2275</v>
      </c>
      <c r="G485" s="70">
        <v>45.300000000000203</v>
      </c>
      <c r="K485" s="70">
        <v>455</v>
      </c>
      <c r="L485" s="70">
        <f t="shared" si="16"/>
        <v>910</v>
      </c>
      <c r="M485" s="70">
        <v>44.999999999999503</v>
      </c>
    </row>
    <row r="486" spans="5:13" x14ac:dyDescent="0.3">
      <c r="E486" s="70">
        <v>456</v>
      </c>
      <c r="F486" s="70">
        <f t="shared" si="15"/>
        <v>2280</v>
      </c>
      <c r="G486" s="70">
        <v>45.400000000000198</v>
      </c>
      <c r="K486" s="70">
        <v>456</v>
      </c>
      <c r="L486" s="70">
        <f t="shared" si="16"/>
        <v>912</v>
      </c>
      <c r="M486" s="70">
        <v>45.099999999999497</v>
      </c>
    </row>
    <row r="487" spans="5:13" x14ac:dyDescent="0.3">
      <c r="E487" s="70">
        <v>457</v>
      </c>
      <c r="F487" s="70">
        <f t="shared" si="15"/>
        <v>2285</v>
      </c>
      <c r="G487" s="70">
        <v>45.500000000000199</v>
      </c>
      <c r="K487" s="70">
        <v>457</v>
      </c>
      <c r="L487" s="70">
        <f t="shared" si="16"/>
        <v>914</v>
      </c>
      <c r="M487" s="70">
        <v>45.199999999999498</v>
      </c>
    </row>
    <row r="488" spans="5:13" x14ac:dyDescent="0.3">
      <c r="E488" s="70">
        <v>458</v>
      </c>
      <c r="F488" s="70">
        <f t="shared" si="15"/>
        <v>2290</v>
      </c>
      <c r="G488" s="70">
        <v>45.6000000000002</v>
      </c>
      <c r="K488" s="70">
        <v>458</v>
      </c>
      <c r="L488" s="70">
        <f t="shared" si="16"/>
        <v>916</v>
      </c>
      <c r="M488" s="70">
        <v>45.2999999999995</v>
      </c>
    </row>
    <row r="489" spans="5:13" x14ac:dyDescent="0.3">
      <c r="E489" s="70">
        <v>459</v>
      </c>
      <c r="F489" s="70">
        <f t="shared" si="15"/>
        <v>2295</v>
      </c>
      <c r="G489" s="70">
        <v>45.700000000000202</v>
      </c>
      <c r="K489" s="70">
        <v>459</v>
      </c>
      <c r="L489" s="70">
        <f t="shared" si="16"/>
        <v>918</v>
      </c>
      <c r="M489" s="70">
        <v>45.399999999999501</v>
      </c>
    </row>
    <row r="490" spans="5:13" x14ac:dyDescent="0.3">
      <c r="E490" s="70">
        <v>460</v>
      </c>
      <c r="F490" s="70">
        <f t="shared" si="15"/>
        <v>2300</v>
      </c>
      <c r="G490" s="70">
        <v>45.800000000000203</v>
      </c>
      <c r="K490" s="70">
        <v>460</v>
      </c>
      <c r="L490" s="70">
        <f t="shared" si="16"/>
        <v>920</v>
      </c>
      <c r="M490" s="70">
        <v>45.499999999999503</v>
      </c>
    </row>
    <row r="491" spans="5:13" x14ac:dyDescent="0.3">
      <c r="E491" s="70">
        <v>461</v>
      </c>
      <c r="F491" s="70">
        <f t="shared" si="15"/>
        <v>2305</v>
      </c>
      <c r="G491" s="70">
        <v>45.900000000000198</v>
      </c>
      <c r="K491" s="70">
        <v>461</v>
      </c>
      <c r="L491" s="70">
        <f t="shared" si="16"/>
        <v>922</v>
      </c>
      <c r="M491" s="70">
        <v>45.599999999999497</v>
      </c>
    </row>
    <row r="492" spans="5:13" x14ac:dyDescent="0.3">
      <c r="E492" s="70">
        <v>462</v>
      </c>
      <c r="F492" s="70">
        <f t="shared" si="15"/>
        <v>2310</v>
      </c>
      <c r="G492" s="70">
        <v>46.000000000000199</v>
      </c>
      <c r="K492" s="70">
        <v>462</v>
      </c>
      <c r="L492" s="70">
        <f t="shared" si="16"/>
        <v>924</v>
      </c>
      <c r="M492" s="70">
        <v>45.699999999999498</v>
      </c>
    </row>
    <row r="493" spans="5:13" x14ac:dyDescent="0.3">
      <c r="E493" s="70">
        <v>463</v>
      </c>
      <c r="F493" s="70">
        <f t="shared" si="15"/>
        <v>2315</v>
      </c>
      <c r="G493" s="70">
        <v>46.1000000000002</v>
      </c>
      <c r="K493" s="70">
        <v>463</v>
      </c>
      <c r="L493" s="70">
        <f t="shared" si="16"/>
        <v>926</v>
      </c>
      <c r="M493" s="70">
        <v>45.7999999999995</v>
      </c>
    </row>
    <row r="494" spans="5:13" x14ac:dyDescent="0.3">
      <c r="E494" s="70">
        <v>464</v>
      </c>
      <c r="F494" s="70">
        <f t="shared" si="15"/>
        <v>2320</v>
      </c>
      <c r="G494" s="70">
        <v>46.200000000000202</v>
      </c>
      <c r="K494" s="70">
        <v>464</v>
      </c>
      <c r="L494" s="70">
        <f t="shared" si="16"/>
        <v>928</v>
      </c>
      <c r="M494" s="70">
        <v>45.899999999999501</v>
      </c>
    </row>
    <row r="495" spans="5:13" x14ac:dyDescent="0.3">
      <c r="E495" s="70">
        <v>465</v>
      </c>
      <c r="F495" s="70">
        <f t="shared" si="15"/>
        <v>2325</v>
      </c>
      <c r="G495" s="70">
        <v>46.300000000000203</v>
      </c>
      <c r="K495" s="70">
        <v>465</v>
      </c>
      <c r="L495" s="70">
        <f t="shared" si="16"/>
        <v>930</v>
      </c>
      <c r="M495" s="70">
        <v>45.999999999999503</v>
      </c>
    </row>
    <row r="496" spans="5:13" x14ac:dyDescent="0.3">
      <c r="E496" s="70">
        <v>466</v>
      </c>
      <c r="F496" s="70">
        <f t="shared" si="15"/>
        <v>2330</v>
      </c>
      <c r="G496" s="70">
        <v>46.400000000000198</v>
      </c>
      <c r="K496" s="70">
        <v>466</v>
      </c>
      <c r="L496" s="70">
        <f t="shared" si="16"/>
        <v>932</v>
      </c>
      <c r="M496" s="70">
        <v>46.099999999999497</v>
      </c>
    </row>
    <row r="497" spans="5:13" x14ac:dyDescent="0.3">
      <c r="E497" s="70">
        <v>467</v>
      </c>
      <c r="F497" s="70">
        <f t="shared" si="15"/>
        <v>2335</v>
      </c>
      <c r="G497" s="70">
        <v>46.500000000000199</v>
      </c>
      <c r="K497" s="70">
        <v>467</v>
      </c>
      <c r="L497" s="70">
        <f t="shared" si="16"/>
        <v>934</v>
      </c>
      <c r="M497" s="70">
        <v>46.199999999999498</v>
      </c>
    </row>
    <row r="498" spans="5:13" x14ac:dyDescent="0.3">
      <c r="E498" s="70">
        <v>468</v>
      </c>
      <c r="F498" s="70">
        <f t="shared" si="15"/>
        <v>2340</v>
      </c>
      <c r="G498" s="70">
        <v>46.6000000000002</v>
      </c>
      <c r="K498" s="70">
        <v>468</v>
      </c>
      <c r="L498" s="70">
        <f t="shared" si="16"/>
        <v>936</v>
      </c>
      <c r="M498" s="70">
        <v>46.2999999999995</v>
      </c>
    </row>
    <row r="499" spans="5:13" x14ac:dyDescent="0.3">
      <c r="E499" s="70">
        <v>469</v>
      </c>
      <c r="F499" s="70">
        <f t="shared" si="15"/>
        <v>2345</v>
      </c>
      <c r="G499" s="70">
        <v>46.700000000000202</v>
      </c>
      <c r="K499" s="70">
        <v>469</v>
      </c>
      <c r="L499" s="70">
        <f t="shared" si="16"/>
        <v>938</v>
      </c>
      <c r="M499" s="70">
        <v>46.399999999999501</v>
      </c>
    </row>
    <row r="500" spans="5:13" x14ac:dyDescent="0.3">
      <c r="E500" s="70">
        <v>470</v>
      </c>
      <c r="F500" s="70">
        <f t="shared" si="15"/>
        <v>2350</v>
      </c>
      <c r="G500" s="70">
        <v>46.800000000000203</v>
      </c>
      <c r="K500" s="70">
        <v>470</v>
      </c>
      <c r="L500" s="70">
        <f t="shared" si="16"/>
        <v>940</v>
      </c>
      <c r="M500" s="70">
        <v>46.499999999999503</v>
      </c>
    </row>
    <row r="501" spans="5:13" x14ac:dyDescent="0.3">
      <c r="E501" s="70">
        <v>471</v>
      </c>
      <c r="F501" s="70">
        <f t="shared" si="15"/>
        <v>2355</v>
      </c>
      <c r="G501" s="70">
        <v>46.900000000000198</v>
      </c>
      <c r="K501" s="70">
        <v>471</v>
      </c>
      <c r="L501" s="70">
        <f t="shared" si="16"/>
        <v>942</v>
      </c>
      <c r="M501" s="70">
        <v>46.599999999999497</v>
      </c>
    </row>
    <row r="502" spans="5:13" x14ac:dyDescent="0.3">
      <c r="E502" s="70">
        <v>472</v>
      </c>
      <c r="F502" s="70">
        <f t="shared" si="15"/>
        <v>2360</v>
      </c>
      <c r="G502" s="70">
        <v>47.000000000000199</v>
      </c>
      <c r="K502" s="70">
        <v>472</v>
      </c>
      <c r="L502" s="70">
        <f t="shared" si="16"/>
        <v>944</v>
      </c>
      <c r="M502" s="70">
        <v>46.699999999999498</v>
      </c>
    </row>
    <row r="503" spans="5:13" x14ac:dyDescent="0.3">
      <c r="E503" s="70">
        <v>473</v>
      </c>
      <c r="F503" s="70">
        <f t="shared" si="15"/>
        <v>2365</v>
      </c>
      <c r="G503" s="70">
        <v>47.1000000000002</v>
      </c>
      <c r="K503" s="70">
        <v>473</v>
      </c>
      <c r="L503" s="70">
        <f t="shared" si="16"/>
        <v>946</v>
      </c>
      <c r="M503" s="70">
        <v>46.7999999999995</v>
      </c>
    </row>
    <row r="504" spans="5:13" x14ac:dyDescent="0.3">
      <c r="E504" s="70">
        <v>474</v>
      </c>
      <c r="F504" s="70">
        <f t="shared" si="15"/>
        <v>2370</v>
      </c>
      <c r="G504" s="70">
        <v>47.200000000000202</v>
      </c>
      <c r="K504" s="70">
        <v>474</v>
      </c>
      <c r="L504" s="70">
        <f t="shared" si="16"/>
        <v>948</v>
      </c>
      <c r="M504" s="70">
        <v>46.899999999999501</v>
      </c>
    </row>
    <row r="505" spans="5:13" x14ac:dyDescent="0.3">
      <c r="E505" s="70">
        <v>475</v>
      </c>
      <c r="F505" s="70">
        <f t="shared" si="15"/>
        <v>2375</v>
      </c>
      <c r="G505" s="70">
        <v>47.300000000000203</v>
      </c>
      <c r="K505" s="70">
        <v>475</v>
      </c>
      <c r="L505" s="70">
        <f t="shared" si="16"/>
        <v>950</v>
      </c>
      <c r="M505" s="70">
        <v>46.999999999999503</v>
      </c>
    </row>
    <row r="506" spans="5:13" x14ac:dyDescent="0.3">
      <c r="E506" s="70">
        <v>476</v>
      </c>
      <c r="F506" s="70">
        <f t="shared" si="15"/>
        <v>2380</v>
      </c>
      <c r="G506" s="70">
        <v>47.400000000000198</v>
      </c>
      <c r="K506" s="70">
        <v>476</v>
      </c>
      <c r="L506" s="70">
        <f t="shared" si="16"/>
        <v>952</v>
      </c>
      <c r="M506" s="70">
        <v>47.099999999999497</v>
      </c>
    </row>
    <row r="507" spans="5:13" x14ac:dyDescent="0.3">
      <c r="E507" s="70">
        <v>477</v>
      </c>
      <c r="F507" s="70">
        <f t="shared" si="15"/>
        <v>2385</v>
      </c>
      <c r="G507" s="70">
        <v>47.500000000000199</v>
      </c>
      <c r="K507" s="70">
        <v>477</v>
      </c>
      <c r="L507" s="70">
        <f t="shared" si="16"/>
        <v>954</v>
      </c>
      <c r="M507" s="70">
        <v>47.199999999999498</v>
      </c>
    </row>
    <row r="508" spans="5:13" x14ac:dyDescent="0.3">
      <c r="E508" s="70">
        <v>478</v>
      </c>
      <c r="F508" s="70">
        <f t="shared" si="15"/>
        <v>2390</v>
      </c>
      <c r="G508" s="70">
        <v>47.6000000000002</v>
      </c>
      <c r="K508" s="70">
        <v>478</v>
      </c>
      <c r="L508" s="70">
        <f t="shared" si="16"/>
        <v>956</v>
      </c>
      <c r="M508" s="70">
        <v>47.2999999999995</v>
      </c>
    </row>
    <row r="509" spans="5:13" x14ac:dyDescent="0.3">
      <c r="E509" s="70">
        <v>479</v>
      </c>
      <c r="F509" s="70">
        <f t="shared" si="15"/>
        <v>2395</v>
      </c>
      <c r="G509" s="70">
        <v>47.700000000000202</v>
      </c>
      <c r="K509" s="70">
        <v>479</v>
      </c>
      <c r="L509" s="70">
        <f t="shared" si="16"/>
        <v>958</v>
      </c>
      <c r="M509" s="70">
        <v>47.399999999999501</v>
      </c>
    </row>
    <row r="510" spans="5:13" x14ac:dyDescent="0.3">
      <c r="E510" s="70">
        <v>480</v>
      </c>
      <c r="F510" s="70">
        <f t="shared" si="15"/>
        <v>2400</v>
      </c>
      <c r="G510" s="70">
        <v>47.800000000000203</v>
      </c>
      <c r="K510" s="70">
        <v>480</v>
      </c>
      <c r="L510" s="70">
        <f t="shared" si="16"/>
        <v>960</v>
      </c>
      <c r="M510" s="70">
        <v>47.499999999999503</v>
      </c>
    </row>
    <row r="511" spans="5:13" x14ac:dyDescent="0.3">
      <c r="E511" s="70">
        <v>481</v>
      </c>
      <c r="F511" s="70">
        <f t="shared" si="15"/>
        <v>2405</v>
      </c>
      <c r="G511" s="70">
        <v>47.900000000000198</v>
      </c>
      <c r="K511" s="70">
        <v>481</v>
      </c>
      <c r="L511" s="70">
        <f t="shared" si="16"/>
        <v>962</v>
      </c>
      <c r="M511" s="70">
        <v>47.599999999999497</v>
      </c>
    </row>
    <row r="512" spans="5:13" x14ac:dyDescent="0.3">
      <c r="E512" s="70">
        <v>482</v>
      </c>
      <c r="F512" s="70">
        <f t="shared" si="15"/>
        <v>2410</v>
      </c>
      <c r="G512" s="70">
        <v>48.000000000000199</v>
      </c>
      <c r="K512" s="70">
        <v>482</v>
      </c>
      <c r="L512" s="70">
        <f t="shared" si="16"/>
        <v>964</v>
      </c>
      <c r="M512" s="70">
        <v>47.699999999999498</v>
      </c>
    </row>
    <row r="513" spans="5:13" x14ac:dyDescent="0.3">
      <c r="E513" s="70">
        <v>483</v>
      </c>
      <c r="F513" s="70">
        <f t="shared" si="15"/>
        <v>2415</v>
      </c>
      <c r="G513" s="70">
        <v>48.1000000000002</v>
      </c>
      <c r="K513" s="70">
        <v>483</v>
      </c>
      <c r="L513" s="70">
        <f t="shared" si="16"/>
        <v>966</v>
      </c>
      <c r="M513" s="70">
        <v>47.7999999999995</v>
      </c>
    </row>
    <row r="514" spans="5:13" x14ac:dyDescent="0.3">
      <c r="E514" s="70">
        <v>484</v>
      </c>
      <c r="F514" s="70">
        <f t="shared" si="15"/>
        <v>2420</v>
      </c>
      <c r="G514" s="70">
        <v>48.200000000000202</v>
      </c>
      <c r="K514" s="70">
        <v>484</v>
      </c>
      <c r="L514" s="70">
        <f t="shared" si="16"/>
        <v>968</v>
      </c>
      <c r="M514" s="70">
        <v>47.899999999999501</v>
      </c>
    </row>
    <row r="515" spans="5:13" x14ac:dyDescent="0.3">
      <c r="E515" s="70">
        <v>485</v>
      </c>
      <c r="F515" s="70">
        <f t="shared" si="15"/>
        <v>2425</v>
      </c>
      <c r="G515" s="70">
        <v>48.300000000000203</v>
      </c>
      <c r="K515" s="70">
        <v>485</v>
      </c>
      <c r="L515" s="70">
        <f t="shared" si="16"/>
        <v>970</v>
      </c>
      <c r="M515" s="70">
        <v>47.999999999999503</v>
      </c>
    </row>
    <row r="516" spans="5:13" x14ac:dyDescent="0.3">
      <c r="E516" s="70">
        <v>486</v>
      </c>
      <c r="F516" s="70">
        <f t="shared" si="15"/>
        <v>2430</v>
      </c>
      <c r="G516" s="70">
        <v>48.400000000000198</v>
      </c>
      <c r="K516" s="70">
        <v>486</v>
      </c>
      <c r="L516" s="70">
        <f t="shared" si="16"/>
        <v>972</v>
      </c>
      <c r="M516" s="70">
        <v>48.099999999999497</v>
      </c>
    </row>
    <row r="517" spans="5:13" x14ac:dyDescent="0.3">
      <c r="E517" s="70">
        <v>487</v>
      </c>
      <c r="F517" s="70">
        <f t="shared" si="15"/>
        <v>2435</v>
      </c>
      <c r="G517" s="70">
        <v>48.500000000000199</v>
      </c>
      <c r="K517" s="70">
        <v>487</v>
      </c>
      <c r="L517" s="70">
        <f t="shared" si="16"/>
        <v>974</v>
      </c>
      <c r="M517" s="70">
        <v>48.199999999999498</v>
      </c>
    </row>
    <row r="518" spans="5:13" x14ac:dyDescent="0.3">
      <c r="E518" s="70">
        <v>488</v>
      </c>
      <c r="F518" s="70">
        <f t="shared" si="15"/>
        <v>2440</v>
      </c>
      <c r="G518" s="70">
        <v>48.6000000000002</v>
      </c>
      <c r="K518" s="70">
        <v>488</v>
      </c>
      <c r="L518" s="70">
        <f t="shared" si="16"/>
        <v>976</v>
      </c>
      <c r="M518" s="70">
        <v>48.2999999999995</v>
      </c>
    </row>
    <row r="519" spans="5:13" x14ac:dyDescent="0.3">
      <c r="E519" s="70">
        <v>489</v>
      </c>
      <c r="F519" s="70">
        <f t="shared" si="15"/>
        <v>2445</v>
      </c>
      <c r="G519" s="70">
        <v>48.700000000000202</v>
      </c>
      <c r="K519" s="70">
        <v>489</v>
      </c>
      <c r="L519" s="70">
        <f t="shared" si="16"/>
        <v>978</v>
      </c>
      <c r="M519" s="70">
        <v>48.399999999999501</v>
      </c>
    </row>
    <row r="520" spans="5:13" x14ac:dyDescent="0.3">
      <c r="E520" s="70">
        <v>490</v>
      </c>
      <c r="F520" s="70">
        <f t="shared" si="15"/>
        <v>2450</v>
      </c>
      <c r="G520" s="70">
        <v>48.800000000000203</v>
      </c>
      <c r="K520" s="70">
        <v>490</v>
      </c>
      <c r="L520" s="70">
        <f t="shared" si="16"/>
        <v>980</v>
      </c>
      <c r="M520" s="70">
        <v>48.499999999999403</v>
      </c>
    </row>
    <row r="521" spans="5:13" x14ac:dyDescent="0.3">
      <c r="E521" s="70">
        <v>491</v>
      </c>
      <c r="F521" s="70">
        <f t="shared" si="15"/>
        <v>2455</v>
      </c>
      <c r="G521" s="70">
        <v>48.900000000000198</v>
      </c>
      <c r="K521" s="70">
        <v>491</v>
      </c>
      <c r="L521" s="70">
        <f t="shared" si="16"/>
        <v>982</v>
      </c>
      <c r="M521" s="70">
        <v>48.599999999999397</v>
      </c>
    </row>
    <row r="522" spans="5:13" x14ac:dyDescent="0.3">
      <c r="E522" s="70">
        <v>492</v>
      </c>
      <c r="F522" s="70">
        <f t="shared" si="15"/>
        <v>2460</v>
      </c>
      <c r="G522" s="70">
        <v>49.000000000000199</v>
      </c>
      <c r="K522" s="70">
        <v>492</v>
      </c>
      <c r="L522" s="70">
        <f t="shared" si="16"/>
        <v>984</v>
      </c>
      <c r="M522" s="70">
        <v>48.699999999999399</v>
      </c>
    </row>
    <row r="523" spans="5:13" x14ac:dyDescent="0.3">
      <c r="E523" s="70">
        <v>493</v>
      </c>
      <c r="F523" s="70">
        <f t="shared" si="15"/>
        <v>2465</v>
      </c>
      <c r="G523" s="70">
        <v>49.1000000000002</v>
      </c>
      <c r="K523" s="70">
        <v>493</v>
      </c>
      <c r="L523" s="70">
        <f t="shared" si="16"/>
        <v>986</v>
      </c>
      <c r="M523" s="70">
        <v>48.7999999999994</v>
      </c>
    </row>
    <row r="524" spans="5:13" x14ac:dyDescent="0.3">
      <c r="E524" s="70">
        <v>494</v>
      </c>
      <c r="F524" s="70">
        <f t="shared" si="15"/>
        <v>2470</v>
      </c>
      <c r="G524" s="70">
        <v>49.200000000000202</v>
      </c>
      <c r="K524" s="70">
        <v>494</v>
      </c>
      <c r="L524" s="70">
        <f t="shared" si="16"/>
        <v>988</v>
      </c>
      <c r="M524" s="70">
        <v>48.899999999999402</v>
      </c>
    </row>
    <row r="525" spans="5:13" x14ac:dyDescent="0.3">
      <c r="E525" s="70">
        <v>495</v>
      </c>
      <c r="F525" s="70">
        <f t="shared" si="15"/>
        <v>2475</v>
      </c>
      <c r="G525" s="70">
        <v>49.300000000000203</v>
      </c>
      <c r="K525" s="70">
        <v>495</v>
      </c>
      <c r="L525" s="70">
        <f t="shared" si="16"/>
        <v>990</v>
      </c>
      <c r="M525" s="70">
        <v>48.999999999999403</v>
      </c>
    </row>
    <row r="526" spans="5:13" x14ac:dyDescent="0.3">
      <c r="E526" s="70">
        <v>496</v>
      </c>
      <c r="F526" s="70">
        <f t="shared" si="15"/>
        <v>2480</v>
      </c>
      <c r="G526" s="70">
        <v>49.400000000000198</v>
      </c>
      <c r="K526" s="70">
        <v>496</v>
      </c>
      <c r="L526" s="70">
        <f t="shared" si="16"/>
        <v>992</v>
      </c>
      <c r="M526" s="70">
        <v>49.099999999999397</v>
      </c>
    </row>
    <row r="527" spans="5:13" x14ac:dyDescent="0.3">
      <c r="E527" s="70">
        <v>497</v>
      </c>
      <c r="F527" s="70">
        <f t="shared" si="15"/>
        <v>2485</v>
      </c>
      <c r="G527" s="70">
        <v>49.500000000000199</v>
      </c>
      <c r="K527" s="70">
        <v>497</v>
      </c>
      <c r="L527" s="70">
        <f t="shared" si="16"/>
        <v>994</v>
      </c>
      <c r="M527" s="70">
        <v>49.199999999999399</v>
      </c>
    </row>
    <row r="528" spans="5:13" x14ac:dyDescent="0.3">
      <c r="E528" s="70">
        <v>498</v>
      </c>
      <c r="F528" s="70">
        <f t="shared" si="15"/>
        <v>2490</v>
      </c>
      <c r="G528" s="70">
        <v>49.6000000000002</v>
      </c>
      <c r="K528" s="70">
        <v>498</v>
      </c>
      <c r="L528" s="70">
        <f t="shared" si="16"/>
        <v>996</v>
      </c>
      <c r="M528" s="70">
        <v>49.2999999999994</v>
      </c>
    </row>
    <row r="529" spans="5:13" x14ac:dyDescent="0.3">
      <c r="E529" s="70">
        <v>499</v>
      </c>
      <c r="F529" s="70">
        <f t="shared" si="15"/>
        <v>2495</v>
      </c>
      <c r="G529" s="70">
        <v>49.700000000000202</v>
      </c>
      <c r="K529" s="70">
        <v>499</v>
      </c>
      <c r="L529" s="70">
        <f t="shared" si="16"/>
        <v>998</v>
      </c>
      <c r="M529" s="70">
        <v>49.399999999999402</v>
      </c>
    </row>
    <row r="530" spans="5:13" x14ac:dyDescent="0.3">
      <c r="E530" s="70">
        <v>500</v>
      </c>
      <c r="F530" s="70">
        <f t="shared" si="15"/>
        <v>2500</v>
      </c>
      <c r="G530" s="70">
        <v>49.800000000000203</v>
      </c>
      <c r="K530" s="70">
        <v>500</v>
      </c>
      <c r="L530" s="70">
        <f t="shared" si="16"/>
        <v>1000</v>
      </c>
      <c r="M530" s="70">
        <v>49.499999999999403</v>
      </c>
    </row>
    <row r="531" spans="5:13" x14ac:dyDescent="0.3">
      <c r="E531" s="70">
        <v>501</v>
      </c>
      <c r="F531" s="70">
        <f t="shared" si="15"/>
        <v>2505</v>
      </c>
      <c r="G531" s="70">
        <v>49.900000000000198</v>
      </c>
      <c r="K531" s="70">
        <v>501</v>
      </c>
      <c r="L531" s="70">
        <f t="shared" si="16"/>
        <v>1002</v>
      </c>
      <c r="M531" s="70">
        <v>49.599999999999397</v>
      </c>
    </row>
    <row r="532" spans="5:13" x14ac:dyDescent="0.3">
      <c r="E532" s="70">
        <v>502</v>
      </c>
      <c r="F532" s="70">
        <f t="shared" si="15"/>
        <v>2510</v>
      </c>
      <c r="G532" s="70">
        <v>50.000000000000199</v>
      </c>
      <c r="K532" s="70">
        <v>502</v>
      </c>
      <c r="L532" s="70">
        <f t="shared" si="16"/>
        <v>1004</v>
      </c>
      <c r="M532" s="70">
        <v>49.699999999999399</v>
      </c>
    </row>
    <row r="533" spans="5:13" x14ac:dyDescent="0.3">
      <c r="E533" s="70">
        <v>503</v>
      </c>
      <c r="F533" s="70">
        <f t="shared" si="15"/>
        <v>2515</v>
      </c>
      <c r="G533" s="70">
        <v>50.1000000000002</v>
      </c>
      <c r="K533" s="70">
        <v>503</v>
      </c>
      <c r="L533" s="70">
        <f t="shared" si="16"/>
        <v>1006</v>
      </c>
      <c r="M533" s="70">
        <v>49.7999999999994</v>
      </c>
    </row>
    <row r="534" spans="5:13" x14ac:dyDescent="0.3">
      <c r="E534" s="70">
        <v>504</v>
      </c>
      <c r="F534" s="70">
        <f t="shared" si="15"/>
        <v>2520</v>
      </c>
      <c r="G534" s="70">
        <v>50.200000000000202</v>
      </c>
      <c r="K534" s="70">
        <v>504</v>
      </c>
      <c r="L534" s="70">
        <f t="shared" si="16"/>
        <v>1008</v>
      </c>
      <c r="M534" s="70">
        <v>49.899999999999402</v>
      </c>
    </row>
    <row r="535" spans="5:13" x14ac:dyDescent="0.3">
      <c r="E535" s="70">
        <v>505</v>
      </c>
      <c r="F535" s="70">
        <f t="shared" si="15"/>
        <v>2525</v>
      </c>
      <c r="G535" s="70">
        <v>50.300000000000203</v>
      </c>
      <c r="K535" s="70">
        <v>505</v>
      </c>
      <c r="L535" s="70">
        <f t="shared" si="16"/>
        <v>1010</v>
      </c>
      <c r="M535" s="70">
        <v>49.999999999999403</v>
      </c>
    </row>
    <row r="536" spans="5:13" x14ac:dyDescent="0.3">
      <c r="E536" s="70">
        <v>506</v>
      </c>
      <c r="F536" s="70">
        <f t="shared" si="15"/>
        <v>2530</v>
      </c>
      <c r="G536" s="70">
        <v>50.400000000000198</v>
      </c>
      <c r="K536" s="70">
        <v>506</v>
      </c>
      <c r="L536" s="70">
        <f t="shared" si="16"/>
        <v>1012</v>
      </c>
      <c r="M536" s="70">
        <v>50.099999999999397</v>
      </c>
    </row>
    <row r="537" spans="5:13" x14ac:dyDescent="0.3">
      <c r="E537" s="70">
        <v>507</v>
      </c>
      <c r="F537" s="70">
        <f t="shared" si="15"/>
        <v>2535</v>
      </c>
      <c r="G537" s="70">
        <v>50.500000000000199</v>
      </c>
      <c r="K537" s="70">
        <v>507</v>
      </c>
      <c r="L537" s="70">
        <f t="shared" si="16"/>
        <v>1014</v>
      </c>
      <c r="M537" s="70">
        <v>50.199999999999399</v>
      </c>
    </row>
    <row r="538" spans="5:13" x14ac:dyDescent="0.3">
      <c r="E538" s="70">
        <v>508</v>
      </c>
      <c r="F538" s="70">
        <f t="shared" si="15"/>
        <v>2540</v>
      </c>
      <c r="G538" s="70">
        <v>50.6000000000002</v>
      </c>
      <c r="K538" s="70">
        <v>508</v>
      </c>
      <c r="L538" s="70">
        <f t="shared" si="16"/>
        <v>1016</v>
      </c>
      <c r="M538" s="70">
        <v>50.2999999999994</v>
      </c>
    </row>
    <row r="539" spans="5:13" x14ac:dyDescent="0.3">
      <c r="E539" s="70">
        <v>509</v>
      </c>
      <c r="F539" s="70">
        <f t="shared" si="15"/>
        <v>2545</v>
      </c>
      <c r="G539" s="70">
        <v>50.700000000000202</v>
      </c>
      <c r="K539" s="70">
        <v>509</v>
      </c>
      <c r="L539" s="70">
        <f t="shared" si="16"/>
        <v>1018</v>
      </c>
      <c r="M539" s="70">
        <v>50.399999999999402</v>
      </c>
    </row>
    <row r="540" spans="5:13" x14ac:dyDescent="0.3">
      <c r="E540" s="70">
        <v>510</v>
      </c>
      <c r="F540" s="70">
        <f t="shared" si="15"/>
        <v>2550</v>
      </c>
      <c r="G540" s="70">
        <v>50.800000000000203</v>
      </c>
      <c r="K540" s="70">
        <v>510</v>
      </c>
      <c r="L540" s="70">
        <f t="shared" si="16"/>
        <v>1020</v>
      </c>
      <c r="M540" s="70">
        <v>50.499999999999403</v>
      </c>
    </row>
    <row r="541" spans="5:13" x14ac:dyDescent="0.3">
      <c r="E541" s="70">
        <v>511</v>
      </c>
      <c r="F541" s="70">
        <f t="shared" si="15"/>
        <v>2555</v>
      </c>
      <c r="G541" s="70">
        <v>50.900000000000198</v>
      </c>
      <c r="K541" s="70">
        <v>511</v>
      </c>
      <c r="L541" s="70">
        <f t="shared" si="16"/>
        <v>1022</v>
      </c>
      <c r="M541" s="70">
        <v>50.599999999999397</v>
      </c>
    </row>
    <row r="542" spans="5:13" x14ac:dyDescent="0.3">
      <c r="E542" s="70">
        <v>512</v>
      </c>
      <c r="F542" s="70">
        <f t="shared" si="15"/>
        <v>2560</v>
      </c>
      <c r="G542" s="70">
        <v>51.000000000000199</v>
      </c>
      <c r="K542" s="70">
        <v>512</v>
      </c>
      <c r="L542" s="70">
        <f t="shared" si="16"/>
        <v>1024</v>
      </c>
      <c r="M542" s="70">
        <v>50.699999999999399</v>
      </c>
    </row>
    <row r="543" spans="5:13" x14ac:dyDescent="0.3">
      <c r="E543" s="70">
        <v>513</v>
      </c>
      <c r="F543" s="70">
        <f t="shared" si="15"/>
        <v>2565</v>
      </c>
      <c r="G543" s="70">
        <v>51.1000000000002</v>
      </c>
      <c r="K543" s="70">
        <v>513</v>
      </c>
      <c r="L543" s="70">
        <f t="shared" si="16"/>
        <v>1026</v>
      </c>
      <c r="M543" s="70">
        <v>50.7999999999994</v>
      </c>
    </row>
    <row r="544" spans="5:13" x14ac:dyDescent="0.3">
      <c r="E544" s="70">
        <v>514</v>
      </c>
      <c r="F544" s="70">
        <f t="shared" si="15"/>
        <v>2570</v>
      </c>
      <c r="G544" s="70">
        <v>51.200000000000202</v>
      </c>
      <c r="K544" s="70">
        <v>514</v>
      </c>
      <c r="L544" s="70">
        <f t="shared" si="16"/>
        <v>1028</v>
      </c>
      <c r="M544" s="70">
        <v>50.899999999999402</v>
      </c>
    </row>
    <row r="545" spans="5:13" x14ac:dyDescent="0.3">
      <c r="E545" s="70">
        <v>515</v>
      </c>
      <c r="F545" s="70">
        <f t="shared" ref="F545:F608" si="17">+F544+$F$27</f>
        <v>2575</v>
      </c>
      <c r="G545" s="70">
        <v>51.300000000000203</v>
      </c>
      <c r="K545" s="70">
        <v>515</v>
      </c>
      <c r="L545" s="70">
        <f t="shared" ref="L545:L608" si="18">+L544+$L$27</f>
        <v>1030</v>
      </c>
      <c r="M545" s="70">
        <v>50.999999999999403</v>
      </c>
    </row>
    <row r="546" spans="5:13" x14ac:dyDescent="0.3">
      <c r="E546" s="70">
        <v>516</v>
      </c>
      <c r="F546" s="70">
        <f t="shared" si="17"/>
        <v>2580</v>
      </c>
      <c r="G546" s="70">
        <v>51.400000000000198</v>
      </c>
      <c r="K546" s="70">
        <v>516</v>
      </c>
      <c r="L546" s="70">
        <f t="shared" si="18"/>
        <v>1032</v>
      </c>
      <c r="M546" s="70">
        <v>51.099999999999397</v>
      </c>
    </row>
    <row r="547" spans="5:13" x14ac:dyDescent="0.3">
      <c r="E547" s="70">
        <v>517</v>
      </c>
      <c r="F547" s="70">
        <f t="shared" si="17"/>
        <v>2585</v>
      </c>
      <c r="G547" s="70">
        <v>51.500000000000199</v>
      </c>
      <c r="K547" s="70">
        <v>517</v>
      </c>
      <c r="L547" s="70">
        <f t="shared" si="18"/>
        <v>1034</v>
      </c>
      <c r="M547" s="70">
        <v>51.199999999999399</v>
      </c>
    </row>
    <row r="548" spans="5:13" x14ac:dyDescent="0.3">
      <c r="E548" s="70">
        <v>518</v>
      </c>
      <c r="F548" s="70">
        <f t="shared" si="17"/>
        <v>2590</v>
      </c>
      <c r="G548" s="70">
        <v>51.6000000000002</v>
      </c>
      <c r="K548" s="70">
        <v>518</v>
      </c>
      <c r="L548" s="70">
        <f t="shared" si="18"/>
        <v>1036</v>
      </c>
      <c r="M548" s="70">
        <v>51.2999999999994</v>
      </c>
    </row>
    <row r="549" spans="5:13" x14ac:dyDescent="0.3">
      <c r="E549" s="70">
        <v>519</v>
      </c>
      <c r="F549" s="70">
        <f t="shared" si="17"/>
        <v>2595</v>
      </c>
      <c r="G549" s="70">
        <v>51.700000000000202</v>
      </c>
      <c r="K549" s="70">
        <v>519</v>
      </c>
      <c r="L549" s="70">
        <f t="shared" si="18"/>
        <v>1038</v>
      </c>
      <c r="M549" s="70">
        <v>51.399999999999402</v>
      </c>
    </row>
    <row r="550" spans="5:13" x14ac:dyDescent="0.3">
      <c r="E550" s="70">
        <v>520</v>
      </c>
      <c r="F550" s="70">
        <f t="shared" si="17"/>
        <v>2600</v>
      </c>
      <c r="G550" s="70">
        <v>51.800000000000203</v>
      </c>
      <c r="K550" s="70">
        <v>520</v>
      </c>
      <c r="L550" s="70">
        <f t="shared" si="18"/>
        <v>1040</v>
      </c>
      <c r="M550" s="70">
        <v>51.499999999999403</v>
      </c>
    </row>
    <row r="551" spans="5:13" x14ac:dyDescent="0.3">
      <c r="E551" s="70">
        <v>521</v>
      </c>
      <c r="F551" s="70">
        <f t="shared" si="17"/>
        <v>2605</v>
      </c>
      <c r="G551" s="70">
        <v>51.900000000000198</v>
      </c>
      <c r="K551" s="70">
        <v>521</v>
      </c>
      <c r="L551" s="70">
        <f t="shared" si="18"/>
        <v>1042</v>
      </c>
      <c r="M551" s="70">
        <v>51.599999999999397</v>
      </c>
    </row>
    <row r="552" spans="5:13" x14ac:dyDescent="0.3">
      <c r="E552" s="70">
        <v>522</v>
      </c>
      <c r="F552" s="70">
        <f t="shared" si="17"/>
        <v>2610</v>
      </c>
      <c r="G552" s="70">
        <v>52.000000000000199</v>
      </c>
      <c r="K552" s="70">
        <v>522</v>
      </c>
      <c r="L552" s="70">
        <f t="shared" si="18"/>
        <v>1044</v>
      </c>
      <c r="M552" s="70">
        <v>51.699999999999399</v>
      </c>
    </row>
    <row r="553" spans="5:13" x14ac:dyDescent="0.3">
      <c r="E553" s="70">
        <v>523</v>
      </c>
      <c r="F553" s="70">
        <f t="shared" si="17"/>
        <v>2615</v>
      </c>
      <c r="G553" s="70">
        <v>52.1000000000002</v>
      </c>
      <c r="K553" s="70">
        <v>523</v>
      </c>
      <c r="L553" s="70">
        <f t="shared" si="18"/>
        <v>1046</v>
      </c>
      <c r="M553" s="70">
        <v>51.7999999999994</v>
      </c>
    </row>
    <row r="554" spans="5:13" x14ac:dyDescent="0.3">
      <c r="E554" s="70">
        <v>524</v>
      </c>
      <c r="F554" s="70">
        <f t="shared" si="17"/>
        <v>2620</v>
      </c>
      <c r="G554" s="70">
        <v>52.200000000000202</v>
      </c>
      <c r="K554" s="70">
        <v>524</v>
      </c>
      <c r="L554" s="70">
        <f t="shared" si="18"/>
        <v>1048</v>
      </c>
      <c r="M554" s="70">
        <v>51.899999999999402</v>
      </c>
    </row>
    <row r="555" spans="5:13" x14ac:dyDescent="0.3">
      <c r="E555" s="70">
        <v>525</v>
      </c>
      <c r="F555" s="70">
        <f t="shared" si="17"/>
        <v>2625</v>
      </c>
      <c r="G555" s="70">
        <v>52.300000000000203</v>
      </c>
      <c r="K555" s="70">
        <v>525</v>
      </c>
      <c r="L555" s="70">
        <f t="shared" si="18"/>
        <v>1050</v>
      </c>
      <c r="M555" s="70">
        <v>51.999999999999403</v>
      </c>
    </row>
    <row r="556" spans="5:13" x14ac:dyDescent="0.3">
      <c r="E556" s="70">
        <v>526</v>
      </c>
      <c r="F556" s="70">
        <f t="shared" si="17"/>
        <v>2630</v>
      </c>
      <c r="G556" s="70">
        <v>52.400000000000297</v>
      </c>
      <c r="K556" s="70">
        <v>526</v>
      </c>
      <c r="L556" s="70">
        <f t="shared" si="18"/>
        <v>1052</v>
      </c>
      <c r="M556" s="70">
        <v>52.099999999999397</v>
      </c>
    </row>
    <row r="557" spans="5:13" x14ac:dyDescent="0.3">
      <c r="E557" s="70">
        <v>527</v>
      </c>
      <c r="F557" s="70">
        <f t="shared" si="17"/>
        <v>2635</v>
      </c>
      <c r="G557" s="70">
        <v>52.500000000000298</v>
      </c>
      <c r="K557" s="70">
        <v>527</v>
      </c>
      <c r="L557" s="70">
        <f t="shared" si="18"/>
        <v>1054</v>
      </c>
      <c r="M557" s="70">
        <v>52.199999999999399</v>
      </c>
    </row>
    <row r="558" spans="5:13" x14ac:dyDescent="0.3">
      <c r="E558" s="70">
        <v>528</v>
      </c>
      <c r="F558" s="70">
        <f t="shared" si="17"/>
        <v>2640</v>
      </c>
      <c r="G558" s="70">
        <v>52.6000000000003</v>
      </c>
      <c r="K558" s="70">
        <v>528</v>
      </c>
      <c r="L558" s="70">
        <f t="shared" si="18"/>
        <v>1056</v>
      </c>
      <c r="M558" s="70">
        <v>52.2999999999994</v>
      </c>
    </row>
    <row r="559" spans="5:13" x14ac:dyDescent="0.3">
      <c r="E559" s="70">
        <v>529</v>
      </c>
      <c r="F559" s="70">
        <f t="shared" si="17"/>
        <v>2645</v>
      </c>
      <c r="G559" s="70">
        <v>52.700000000000301</v>
      </c>
      <c r="K559" s="70">
        <v>529</v>
      </c>
      <c r="L559" s="70">
        <f t="shared" si="18"/>
        <v>1058</v>
      </c>
      <c r="M559" s="70">
        <v>52.399999999999402</v>
      </c>
    </row>
    <row r="560" spans="5:13" x14ac:dyDescent="0.3">
      <c r="E560" s="70">
        <v>530</v>
      </c>
      <c r="F560" s="70">
        <f t="shared" si="17"/>
        <v>2650</v>
      </c>
      <c r="G560" s="70">
        <v>52.800000000000303</v>
      </c>
      <c r="K560" s="70">
        <v>530</v>
      </c>
      <c r="L560" s="70">
        <f t="shared" si="18"/>
        <v>1060</v>
      </c>
      <c r="M560" s="70">
        <v>52.499999999999403</v>
      </c>
    </row>
    <row r="561" spans="5:13" x14ac:dyDescent="0.3">
      <c r="E561" s="70">
        <v>531</v>
      </c>
      <c r="F561" s="70">
        <f t="shared" si="17"/>
        <v>2655</v>
      </c>
      <c r="G561" s="70">
        <v>52.900000000000297</v>
      </c>
      <c r="K561" s="70">
        <v>531</v>
      </c>
      <c r="L561" s="70">
        <f t="shared" si="18"/>
        <v>1062</v>
      </c>
      <c r="M561" s="70">
        <v>52.599999999999397</v>
      </c>
    </row>
    <row r="562" spans="5:13" x14ac:dyDescent="0.3">
      <c r="E562" s="70">
        <v>532</v>
      </c>
      <c r="F562" s="70">
        <f t="shared" si="17"/>
        <v>2660</v>
      </c>
      <c r="G562" s="70">
        <v>53.000000000000298</v>
      </c>
      <c r="K562" s="70">
        <v>532</v>
      </c>
      <c r="L562" s="70">
        <f t="shared" si="18"/>
        <v>1064</v>
      </c>
      <c r="M562" s="70">
        <v>52.699999999999399</v>
      </c>
    </row>
    <row r="563" spans="5:13" x14ac:dyDescent="0.3">
      <c r="E563" s="70">
        <v>533</v>
      </c>
      <c r="F563" s="70">
        <f t="shared" si="17"/>
        <v>2665</v>
      </c>
      <c r="G563" s="70">
        <v>53.1000000000003</v>
      </c>
      <c r="K563" s="70">
        <v>533</v>
      </c>
      <c r="L563" s="70">
        <f t="shared" si="18"/>
        <v>1066</v>
      </c>
      <c r="M563" s="70">
        <v>52.7999999999994</v>
      </c>
    </row>
    <row r="564" spans="5:13" x14ac:dyDescent="0.3">
      <c r="E564" s="70">
        <v>534</v>
      </c>
      <c r="F564" s="70">
        <f t="shared" si="17"/>
        <v>2670</v>
      </c>
      <c r="G564" s="70">
        <v>53.200000000000301</v>
      </c>
      <c r="K564" s="70">
        <v>534</v>
      </c>
      <c r="L564" s="70">
        <f t="shared" si="18"/>
        <v>1068</v>
      </c>
      <c r="M564" s="70">
        <v>52.899999999999402</v>
      </c>
    </row>
    <row r="565" spans="5:13" x14ac:dyDescent="0.3">
      <c r="E565" s="70">
        <v>535</v>
      </c>
      <c r="F565" s="70">
        <f t="shared" si="17"/>
        <v>2675</v>
      </c>
      <c r="G565" s="70">
        <v>53.300000000000303</v>
      </c>
      <c r="K565" s="70">
        <v>535</v>
      </c>
      <c r="L565" s="70">
        <f t="shared" si="18"/>
        <v>1070</v>
      </c>
      <c r="M565" s="70">
        <v>52.999999999999403</v>
      </c>
    </row>
    <row r="566" spans="5:13" x14ac:dyDescent="0.3">
      <c r="E566" s="70">
        <v>536</v>
      </c>
      <c r="F566" s="70">
        <f t="shared" si="17"/>
        <v>2680</v>
      </c>
      <c r="G566" s="70">
        <v>53.400000000000297</v>
      </c>
      <c r="K566" s="70">
        <v>536</v>
      </c>
      <c r="L566" s="70">
        <f t="shared" si="18"/>
        <v>1072</v>
      </c>
      <c r="M566" s="70">
        <v>53.099999999999397</v>
      </c>
    </row>
    <row r="567" spans="5:13" x14ac:dyDescent="0.3">
      <c r="E567" s="70">
        <v>537</v>
      </c>
      <c r="F567" s="70">
        <f t="shared" si="17"/>
        <v>2685</v>
      </c>
      <c r="G567" s="70">
        <v>53.500000000000298</v>
      </c>
      <c r="K567" s="70">
        <v>537</v>
      </c>
      <c r="L567" s="70">
        <f t="shared" si="18"/>
        <v>1074</v>
      </c>
      <c r="M567" s="70">
        <v>53.199999999999299</v>
      </c>
    </row>
    <row r="568" spans="5:13" x14ac:dyDescent="0.3">
      <c r="E568" s="70">
        <v>538</v>
      </c>
      <c r="F568" s="70">
        <f t="shared" si="17"/>
        <v>2690</v>
      </c>
      <c r="G568" s="70">
        <v>53.6000000000003</v>
      </c>
      <c r="K568" s="70">
        <v>538</v>
      </c>
      <c r="L568" s="70">
        <f t="shared" si="18"/>
        <v>1076</v>
      </c>
      <c r="M568" s="70">
        <v>53.299999999999301</v>
      </c>
    </row>
    <row r="569" spans="5:13" x14ac:dyDescent="0.3">
      <c r="E569" s="70">
        <v>539</v>
      </c>
      <c r="F569" s="70">
        <f t="shared" si="17"/>
        <v>2695</v>
      </c>
      <c r="G569" s="70">
        <v>53.700000000000301</v>
      </c>
      <c r="K569" s="70">
        <v>539</v>
      </c>
      <c r="L569" s="70">
        <f t="shared" si="18"/>
        <v>1078</v>
      </c>
      <c r="M569" s="70">
        <v>53.399999999999302</v>
      </c>
    </row>
    <row r="570" spans="5:13" x14ac:dyDescent="0.3">
      <c r="E570" s="70">
        <v>540</v>
      </c>
      <c r="F570" s="70">
        <f t="shared" si="17"/>
        <v>2700</v>
      </c>
      <c r="G570" s="70">
        <v>53.800000000000303</v>
      </c>
      <c r="K570" s="70">
        <v>540</v>
      </c>
      <c r="L570" s="70">
        <f t="shared" si="18"/>
        <v>1080</v>
      </c>
      <c r="M570" s="70">
        <v>53.499999999999297</v>
      </c>
    </row>
    <row r="571" spans="5:13" x14ac:dyDescent="0.3">
      <c r="E571" s="70">
        <v>541</v>
      </c>
      <c r="F571" s="70">
        <f t="shared" si="17"/>
        <v>2705</v>
      </c>
      <c r="G571" s="70">
        <v>53.900000000000297</v>
      </c>
      <c r="K571" s="70">
        <v>541</v>
      </c>
      <c r="L571" s="70">
        <f t="shared" si="18"/>
        <v>1082</v>
      </c>
      <c r="M571" s="70">
        <v>53.599999999999298</v>
      </c>
    </row>
    <row r="572" spans="5:13" x14ac:dyDescent="0.3">
      <c r="E572" s="70">
        <v>542</v>
      </c>
      <c r="F572" s="70">
        <f t="shared" si="17"/>
        <v>2710</v>
      </c>
      <c r="G572" s="70">
        <v>54.000000000000298</v>
      </c>
      <c r="K572" s="70">
        <v>542</v>
      </c>
      <c r="L572" s="70">
        <f t="shared" si="18"/>
        <v>1084</v>
      </c>
      <c r="M572" s="70">
        <v>53.699999999999299</v>
      </c>
    </row>
    <row r="573" spans="5:13" x14ac:dyDescent="0.3">
      <c r="E573" s="70">
        <v>543</v>
      </c>
      <c r="F573" s="70">
        <f t="shared" si="17"/>
        <v>2715</v>
      </c>
      <c r="G573" s="70">
        <v>54.1000000000003</v>
      </c>
      <c r="K573" s="70">
        <v>543</v>
      </c>
      <c r="L573" s="70">
        <f t="shared" si="18"/>
        <v>1086</v>
      </c>
      <c r="M573" s="70">
        <v>53.799999999999301</v>
      </c>
    </row>
    <row r="574" spans="5:13" x14ac:dyDescent="0.3">
      <c r="E574" s="70">
        <v>544</v>
      </c>
      <c r="F574" s="70">
        <f t="shared" si="17"/>
        <v>2720</v>
      </c>
      <c r="G574" s="70">
        <v>54.200000000000301</v>
      </c>
      <c r="K574" s="70">
        <v>544</v>
      </c>
      <c r="L574" s="70">
        <f t="shared" si="18"/>
        <v>1088</v>
      </c>
      <c r="M574" s="70">
        <v>53.899999999999302</v>
      </c>
    </row>
    <row r="575" spans="5:13" x14ac:dyDescent="0.3">
      <c r="E575" s="70">
        <v>545</v>
      </c>
      <c r="F575" s="70">
        <f t="shared" si="17"/>
        <v>2725</v>
      </c>
      <c r="G575" s="70">
        <v>54.300000000000303</v>
      </c>
      <c r="K575" s="70">
        <v>545</v>
      </c>
      <c r="L575" s="70">
        <f t="shared" si="18"/>
        <v>1090</v>
      </c>
      <c r="M575" s="70">
        <v>53.999999999999297</v>
      </c>
    </row>
    <row r="576" spans="5:13" x14ac:dyDescent="0.3">
      <c r="E576" s="70">
        <v>546</v>
      </c>
      <c r="F576" s="70">
        <f t="shared" si="17"/>
        <v>2730</v>
      </c>
      <c r="G576" s="70">
        <v>54.400000000000297</v>
      </c>
      <c r="K576" s="70">
        <v>546</v>
      </c>
      <c r="L576" s="70">
        <f t="shared" si="18"/>
        <v>1092</v>
      </c>
      <c r="M576" s="70">
        <v>54.099999999999298</v>
      </c>
    </row>
    <row r="577" spans="5:13" x14ac:dyDescent="0.3">
      <c r="E577" s="70">
        <v>547</v>
      </c>
      <c r="F577" s="70">
        <f t="shared" si="17"/>
        <v>2735</v>
      </c>
      <c r="G577" s="70">
        <v>54.500000000000298</v>
      </c>
      <c r="K577" s="70">
        <v>547</v>
      </c>
      <c r="L577" s="70">
        <f t="shared" si="18"/>
        <v>1094</v>
      </c>
      <c r="M577" s="70">
        <v>54.199999999999299</v>
      </c>
    </row>
    <row r="578" spans="5:13" x14ac:dyDescent="0.3">
      <c r="E578" s="70">
        <v>548</v>
      </c>
      <c r="F578" s="70">
        <f t="shared" si="17"/>
        <v>2740</v>
      </c>
      <c r="G578" s="70">
        <v>54.6000000000003</v>
      </c>
      <c r="K578" s="70">
        <v>548</v>
      </c>
      <c r="L578" s="70">
        <f t="shared" si="18"/>
        <v>1096</v>
      </c>
      <c r="M578" s="70">
        <v>54.299999999999301</v>
      </c>
    </row>
    <row r="579" spans="5:13" x14ac:dyDescent="0.3">
      <c r="E579" s="70">
        <v>549</v>
      </c>
      <c r="F579" s="70">
        <f t="shared" si="17"/>
        <v>2745</v>
      </c>
      <c r="G579" s="70">
        <v>54.700000000000301</v>
      </c>
      <c r="K579" s="70">
        <v>549</v>
      </c>
      <c r="L579" s="70">
        <f t="shared" si="18"/>
        <v>1098</v>
      </c>
      <c r="M579" s="70">
        <v>54.399999999999302</v>
      </c>
    </row>
    <row r="580" spans="5:13" x14ac:dyDescent="0.3">
      <c r="E580" s="70">
        <v>550</v>
      </c>
      <c r="F580" s="70">
        <f t="shared" si="17"/>
        <v>2750</v>
      </c>
      <c r="G580" s="70">
        <v>54.800000000000303</v>
      </c>
      <c r="K580" s="70">
        <v>550</v>
      </c>
      <c r="L580" s="70">
        <f t="shared" si="18"/>
        <v>1100</v>
      </c>
      <c r="M580" s="70">
        <v>54.499999999999297</v>
      </c>
    </row>
    <row r="581" spans="5:13" x14ac:dyDescent="0.3">
      <c r="E581" s="70">
        <v>551</v>
      </c>
      <c r="F581" s="70">
        <f t="shared" si="17"/>
        <v>2755</v>
      </c>
      <c r="G581" s="70">
        <v>54.900000000000297</v>
      </c>
      <c r="K581" s="70">
        <v>551</v>
      </c>
      <c r="L581" s="70">
        <f t="shared" si="18"/>
        <v>1102</v>
      </c>
      <c r="M581" s="70">
        <v>54.599999999999298</v>
      </c>
    </row>
    <row r="582" spans="5:13" x14ac:dyDescent="0.3">
      <c r="E582" s="70">
        <v>552</v>
      </c>
      <c r="F582" s="70">
        <f t="shared" si="17"/>
        <v>2760</v>
      </c>
      <c r="G582" s="70">
        <v>55.000000000000298</v>
      </c>
      <c r="K582" s="70">
        <v>552</v>
      </c>
      <c r="L582" s="70">
        <f t="shared" si="18"/>
        <v>1104</v>
      </c>
      <c r="M582" s="70">
        <v>54.699999999999299</v>
      </c>
    </row>
    <row r="583" spans="5:13" x14ac:dyDescent="0.3">
      <c r="E583" s="70">
        <v>553</v>
      </c>
      <c r="F583" s="70">
        <f t="shared" si="17"/>
        <v>2765</v>
      </c>
      <c r="G583" s="70">
        <v>55.1000000000003</v>
      </c>
      <c r="K583" s="70">
        <v>553</v>
      </c>
      <c r="L583" s="70">
        <f t="shared" si="18"/>
        <v>1106</v>
      </c>
      <c r="M583" s="70">
        <v>54.799999999999301</v>
      </c>
    </row>
    <row r="584" spans="5:13" x14ac:dyDescent="0.3">
      <c r="E584" s="70">
        <v>554</v>
      </c>
      <c r="F584" s="70">
        <f t="shared" si="17"/>
        <v>2770</v>
      </c>
      <c r="G584" s="70">
        <v>55.200000000000301</v>
      </c>
      <c r="K584" s="70">
        <v>554</v>
      </c>
      <c r="L584" s="70">
        <f t="shared" si="18"/>
        <v>1108</v>
      </c>
      <c r="M584" s="70">
        <v>54.899999999999302</v>
      </c>
    </row>
    <row r="585" spans="5:13" x14ac:dyDescent="0.3">
      <c r="E585" s="70">
        <v>555</v>
      </c>
      <c r="F585" s="70">
        <f t="shared" si="17"/>
        <v>2775</v>
      </c>
      <c r="G585" s="70">
        <v>55.300000000000303</v>
      </c>
      <c r="K585" s="70">
        <v>555</v>
      </c>
      <c r="L585" s="70">
        <f t="shared" si="18"/>
        <v>1110</v>
      </c>
      <c r="M585" s="70">
        <v>54.999999999999297</v>
      </c>
    </row>
    <row r="586" spans="5:13" x14ac:dyDescent="0.3">
      <c r="E586" s="70">
        <v>556</v>
      </c>
      <c r="F586" s="70">
        <f t="shared" si="17"/>
        <v>2780</v>
      </c>
      <c r="G586" s="70">
        <v>55.400000000000297</v>
      </c>
      <c r="K586" s="70">
        <v>556</v>
      </c>
      <c r="L586" s="70">
        <f t="shared" si="18"/>
        <v>1112</v>
      </c>
      <c r="M586" s="70">
        <v>55.099999999999298</v>
      </c>
    </row>
    <row r="587" spans="5:13" x14ac:dyDescent="0.3">
      <c r="E587" s="70">
        <v>557</v>
      </c>
      <c r="F587" s="70">
        <f t="shared" si="17"/>
        <v>2785</v>
      </c>
      <c r="G587" s="70">
        <v>55.500000000000298</v>
      </c>
      <c r="K587" s="70">
        <v>557</v>
      </c>
      <c r="L587" s="70">
        <f t="shared" si="18"/>
        <v>1114</v>
      </c>
      <c r="M587" s="70">
        <v>55.199999999999299</v>
      </c>
    </row>
    <row r="588" spans="5:13" x14ac:dyDescent="0.3">
      <c r="E588" s="70">
        <v>558</v>
      </c>
      <c r="F588" s="70">
        <f t="shared" si="17"/>
        <v>2790</v>
      </c>
      <c r="G588" s="70">
        <v>55.6000000000003</v>
      </c>
      <c r="K588" s="70">
        <v>558</v>
      </c>
      <c r="L588" s="70">
        <f t="shared" si="18"/>
        <v>1116</v>
      </c>
      <c r="M588" s="70">
        <v>55.299999999999301</v>
      </c>
    </row>
    <row r="589" spans="5:13" x14ac:dyDescent="0.3">
      <c r="E589" s="70">
        <v>559</v>
      </c>
      <c r="F589" s="70">
        <f t="shared" si="17"/>
        <v>2795</v>
      </c>
      <c r="G589" s="70">
        <v>55.700000000000301</v>
      </c>
      <c r="K589" s="70">
        <v>559</v>
      </c>
      <c r="L589" s="70">
        <f t="shared" si="18"/>
        <v>1118</v>
      </c>
      <c r="M589" s="70">
        <v>55.399999999999302</v>
      </c>
    </row>
    <row r="590" spans="5:13" x14ac:dyDescent="0.3">
      <c r="E590" s="70">
        <v>560</v>
      </c>
      <c r="F590" s="70">
        <f t="shared" si="17"/>
        <v>2800</v>
      </c>
      <c r="G590" s="70">
        <v>55.800000000000303</v>
      </c>
      <c r="K590" s="70">
        <v>560</v>
      </c>
      <c r="L590" s="70">
        <f t="shared" si="18"/>
        <v>1120</v>
      </c>
      <c r="M590" s="70">
        <v>55.499999999999297</v>
      </c>
    </row>
    <row r="591" spans="5:13" x14ac:dyDescent="0.3">
      <c r="E591" s="70">
        <v>561</v>
      </c>
      <c r="F591" s="70">
        <f t="shared" si="17"/>
        <v>2805</v>
      </c>
      <c r="G591" s="70">
        <v>55.900000000000297</v>
      </c>
      <c r="K591" s="70">
        <v>561</v>
      </c>
      <c r="L591" s="70">
        <f t="shared" si="18"/>
        <v>1122</v>
      </c>
      <c r="M591" s="70">
        <v>55.599999999999298</v>
      </c>
    </row>
    <row r="592" spans="5:13" x14ac:dyDescent="0.3">
      <c r="E592" s="70">
        <v>562</v>
      </c>
      <c r="F592" s="70">
        <f t="shared" si="17"/>
        <v>2810</v>
      </c>
      <c r="G592" s="70">
        <v>56.000000000000298</v>
      </c>
      <c r="K592" s="70">
        <v>562</v>
      </c>
      <c r="L592" s="70">
        <f t="shared" si="18"/>
        <v>1124</v>
      </c>
      <c r="M592" s="70">
        <v>55.699999999999299</v>
      </c>
    </row>
    <row r="593" spans="5:13" x14ac:dyDescent="0.3">
      <c r="E593" s="70">
        <v>563</v>
      </c>
      <c r="F593" s="70">
        <f t="shared" si="17"/>
        <v>2815</v>
      </c>
      <c r="G593" s="70">
        <v>56.1000000000003</v>
      </c>
      <c r="K593" s="70">
        <v>563</v>
      </c>
      <c r="L593" s="70">
        <f t="shared" si="18"/>
        <v>1126</v>
      </c>
      <c r="M593" s="70">
        <v>55.799999999999301</v>
      </c>
    </row>
    <row r="594" spans="5:13" x14ac:dyDescent="0.3">
      <c r="E594" s="70">
        <v>564</v>
      </c>
      <c r="F594" s="70">
        <f t="shared" si="17"/>
        <v>2820</v>
      </c>
      <c r="G594" s="70">
        <v>56.200000000000301</v>
      </c>
      <c r="K594" s="70">
        <v>564</v>
      </c>
      <c r="L594" s="70">
        <f t="shared" si="18"/>
        <v>1128</v>
      </c>
      <c r="M594" s="70">
        <v>55.899999999999302</v>
      </c>
    </row>
    <row r="595" spans="5:13" x14ac:dyDescent="0.3">
      <c r="E595" s="70">
        <v>565</v>
      </c>
      <c r="F595" s="70">
        <f t="shared" si="17"/>
        <v>2825</v>
      </c>
      <c r="G595" s="70">
        <v>56.300000000000303</v>
      </c>
      <c r="K595" s="70">
        <v>565</v>
      </c>
      <c r="L595" s="70">
        <f t="shared" si="18"/>
        <v>1130</v>
      </c>
      <c r="M595" s="70">
        <v>55.999999999999297</v>
      </c>
    </row>
    <row r="596" spans="5:13" x14ac:dyDescent="0.3">
      <c r="E596" s="70">
        <v>566</v>
      </c>
      <c r="F596" s="70">
        <f t="shared" si="17"/>
        <v>2830</v>
      </c>
      <c r="G596" s="70">
        <v>56.400000000000297</v>
      </c>
      <c r="K596" s="70">
        <v>566</v>
      </c>
      <c r="L596" s="70">
        <f t="shared" si="18"/>
        <v>1132</v>
      </c>
      <c r="M596" s="70">
        <v>56.099999999999298</v>
      </c>
    </row>
    <row r="597" spans="5:13" x14ac:dyDescent="0.3">
      <c r="E597" s="70">
        <v>567</v>
      </c>
      <c r="F597" s="70">
        <f t="shared" si="17"/>
        <v>2835</v>
      </c>
      <c r="G597" s="70">
        <v>56.500000000000298</v>
      </c>
      <c r="K597" s="70">
        <v>567</v>
      </c>
      <c r="L597" s="70">
        <f t="shared" si="18"/>
        <v>1134</v>
      </c>
      <c r="M597" s="70">
        <v>56.199999999999299</v>
      </c>
    </row>
    <row r="598" spans="5:13" x14ac:dyDescent="0.3">
      <c r="E598" s="70">
        <v>568</v>
      </c>
      <c r="F598" s="70">
        <f t="shared" si="17"/>
        <v>2840</v>
      </c>
      <c r="G598" s="70">
        <v>56.6000000000003</v>
      </c>
      <c r="K598" s="70">
        <v>568</v>
      </c>
      <c r="L598" s="70">
        <f t="shared" si="18"/>
        <v>1136</v>
      </c>
      <c r="M598" s="70">
        <v>56.299999999999301</v>
      </c>
    </row>
    <row r="599" spans="5:13" x14ac:dyDescent="0.3">
      <c r="E599" s="70">
        <v>569</v>
      </c>
      <c r="F599" s="70">
        <f t="shared" si="17"/>
        <v>2845</v>
      </c>
      <c r="G599" s="70">
        <v>56.700000000000301</v>
      </c>
      <c r="K599" s="70">
        <v>569</v>
      </c>
      <c r="L599" s="70">
        <f t="shared" si="18"/>
        <v>1138</v>
      </c>
      <c r="M599" s="70">
        <v>56.399999999999302</v>
      </c>
    </row>
    <row r="600" spans="5:13" x14ac:dyDescent="0.3">
      <c r="E600" s="70">
        <v>570</v>
      </c>
      <c r="F600" s="70">
        <f t="shared" si="17"/>
        <v>2850</v>
      </c>
      <c r="G600" s="70">
        <v>56.800000000000303</v>
      </c>
      <c r="K600" s="70">
        <v>570</v>
      </c>
      <c r="L600" s="70">
        <f t="shared" si="18"/>
        <v>1140</v>
      </c>
      <c r="M600" s="70">
        <v>56.499999999999297</v>
      </c>
    </row>
    <row r="601" spans="5:13" x14ac:dyDescent="0.3">
      <c r="E601" s="70">
        <v>571</v>
      </c>
      <c r="F601" s="70">
        <f t="shared" si="17"/>
        <v>2855</v>
      </c>
      <c r="G601" s="70">
        <v>56.900000000000297</v>
      </c>
      <c r="K601" s="70">
        <v>571</v>
      </c>
      <c r="L601" s="70">
        <f t="shared" si="18"/>
        <v>1142</v>
      </c>
      <c r="M601" s="70">
        <v>56.599999999999298</v>
      </c>
    </row>
    <row r="602" spans="5:13" x14ac:dyDescent="0.3">
      <c r="E602" s="70">
        <v>572</v>
      </c>
      <c r="F602" s="70">
        <f t="shared" si="17"/>
        <v>2860</v>
      </c>
      <c r="G602" s="70">
        <v>57.000000000000298</v>
      </c>
      <c r="K602" s="70">
        <v>572</v>
      </c>
      <c r="L602" s="70">
        <f t="shared" si="18"/>
        <v>1144</v>
      </c>
      <c r="M602" s="70">
        <v>56.699999999999299</v>
      </c>
    </row>
    <row r="603" spans="5:13" x14ac:dyDescent="0.3">
      <c r="E603" s="70">
        <v>573</v>
      </c>
      <c r="F603" s="70">
        <f t="shared" si="17"/>
        <v>2865</v>
      </c>
      <c r="G603" s="70">
        <v>57.1000000000003</v>
      </c>
      <c r="K603" s="70">
        <v>573</v>
      </c>
      <c r="L603" s="70">
        <f t="shared" si="18"/>
        <v>1146</v>
      </c>
      <c r="M603" s="70">
        <v>56.799999999999301</v>
      </c>
    </row>
    <row r="604" spans="5:13" x14ac:dyDescent="0.3">
      <c r="E604" s="70">
        <v>574</v>
      </c>
      <c r="F604" s="70">
        <f t="shared" si="17"/>
        <v>2870</v>
      </c>
      <c r="G604" s="70">
        <v>57.200000000000301</v>
      </c>
      <c r="K604" s="70">
        <v>574</v>
      </c>
      <c r="L604" s="70">
        <f t="shared" si="18"/>
        <v>1148</v>
      </c>
      <c r="M604" s="70">
        <v>56.899999999999302</v>
      </c>
    </row>
    <row r="605" spans="5:13" x14ac:dyDescent="0.3">
      <c r="E605" s="70">
        <v>575</v>
      </c>
      <c r="F605" s="70">
        <f t="shared" si="17"/>
        <v>2875</v>
      </c>
      <c r="G605" s="70">
        <v>57.300000000000303</v>
      </c>
      <c r="K605" s="70">
        <v>575</v>
      </c>
      <c r="L605" s="70">
        <f t="shared" si="18"/>
        <v>1150</v>
      </c>
      <c r="M605" s="70">
        <v>56.999999999999297</v>
      </c>
    </row>
    <row r="606" spans="5:13" x14ac:dyDescent="0.3">
      <c r="E606" s="70">
        <v>576</v>
      </c>
      <c r="F606" s="70">
        <f t="shared" si="17"/>
        <v>2880</v>
      </c>
      <c r="G606" s="70">
        <v>57.400000000000297</v>
      </c>
      <c r="K606" s="70">
        <v>576</v>
      </c>
      <c r="L606" s="70">
        <f t="shared" si="18"/>
        <v>1152</v>
      </c>
      <c r="M606" s="70">
        <v>57.099999999999298</v>
      </c>
    </row>
    <row r="607" spans="5:13" x14ac:dyDescent="0.3">
      <c r="E607" s="70">
        <v>577</v>
      </c>
      <c r="F607" s="70">
        <f t="shared" si="17"/>
        <v>2885</v>
      </c>
      <c r="G607" s="70">
        <v>57.500000000000298</v>
      </c>
      <c r="K607" s="70">
        <v>577</v>
      </c>
      <c r="L607" s="70">
        <f t="shared" si="18"/>
        <v>1154</v>
      </c>
      <c r="M607" s="70">
        <v>57.199999999999299</v>
      </c>
    </row>
    <row r="608" spans="5:13" x14ac:dyDescent="0.3">
      <c r="E608" s="70">
        <v>578</v>
      </c>
      <c r="F608" s="70">
        <f t="shared" si="17"/>
        <v>2890</v>
      </c>
      <c r="G608" s="70">
        <v>57.6000000000003</v>
      </c>
      <c r="K608" s="70">
        <v>578</v>
      </c>
      <c r="L608" s="70">
        <f t="shared" si="18"/>
        <v>1156</v>
      </c>
      <c r="M608" s="70">
        <v>57.299999999999301</v>
      </c>
    </row>
    <row r="609" spans="5:13" x14ac:dyDescent="0.3">
      <c r="E609" s="70">
        <v>579</v>
      </c>
      <c r="F609" s="70">
        <f t="shared" ref="F609:F672" si="19">+F608+$F$27</f>
        <v>2895</v>
      </c>
      <c r="G609" s="70">
        <v>57.700000000000301</v>
      </c>
      <c r="K609" s="70">
        <v>579</v>
      </c>
      <c r="L609" s="70">
        <f t="shared" ref="L609:L672" si="20">+L608+$L$27</f>
        <v>1158</v>
      </c>
      <c r="M609" s="70">
        <v>57.399999999999302</v>
      </c>
    </row>
    <row r="610" spans="5:13" x14ac:dyDescent="0.3">
      <c r="E610" s="70">
        <v>580</v>
      </c>
      <c r="F610" s="70">
        <f t="shared" si="19"/>
        <v>2900</v>
      </c>
      <c r="G610" s="70">
        <v>57.800000000000303</v>
      </c>
      <c r="K610" s="70">
        <v>580</v>
      </c>
      <c r="L610" s="70">
        <f t="shared" si="20"/>
        <v>1160</v>
      </c>
      <c r="M610" s="70">
        <v>57.499999999999297</v>
      </c>
    </row>
    <row r="611" spans="5:13" x14ac:dyDescent="0.3">
      <c r="E611" s="70">
        <v>581</v>
      </c>
      <c r="F611" s="70">
        <f t="shared" si="19"/>
        <v>2905</v>
      </c>
      <c r="G611" s="70">
        <v>57.900000000000297</v>
      </c>
      <c r="K611" s="70">
        <v>581</v>
      </c>
      <c r="L611" s="70">
        <f t="shared" si="20"/>
        <v>1162</v>
      </c>
      <c r="M611" s="70">
        <v>57.599999999999298</v>
      </c>
    </row>
    <row r="612" spans="5:13" x14ac:dyDescent="0.3">
      <c r="E612" s="70">
        <v>582</v>
      </c>
      <c r="F612" s="70">
        <f t="shared" si="19"/>
        <v>2910</v>
      </c>
      <c r="G612" s="70">
        <v>58.000000000000298</v>
      </c>
      <c r="K612" s="70">
        <v>582</v>
      </c>
      <c r="L612" s="70">
        <f t="shared" si="20"/>
        <v>1164</v>
      </c>
      <c r="M612" s="70">
        <v>57.699999999999299</v>
      </c>
    </row>
    <row r="613" spans="5:13" x14ac:dyDescent="0.3">
      <c r="E613" s="70">
        <v>583</v>
      </c>
      <c r="F613" s="70">
        <f t="shared" si="19"/>
        <v>2915</v>
      </c>
      <c r="G613" s="70">
        <v>58.1000000000003</v>
      </c>
      <c r="K613" s="70">
        <v>583</v>
      </c>
      <c r="L613" s="70">
        <f t="shared" si="20"/>
        <v>1166</v>
      </c>
      <c r="M613" s="70">
        <v>57.799999999999201</v>
      </c>
    </row>
    <row r="614" spans="5:13" x14ac:dyDescent="0.3">
      <c r="E614" s="70">
        <v>584</v>
      </c>
      <c r="F614" s="70">
        <f t="shared" si="19"/>
        <v>2920</v>
      </c>
      <c r="G614" s="70">
        <v>58.200000000000301</v>
      </c>
      <c r="K614" s="70">
        <v>584</v>
      </c>
      <c r="L614" s="70">
        <f t="shared" si="20"/>
        <v>1168</v>
      </c>
      <c r="M614" s="70">
        <v>57.899999999999203</v>
      </c>
    </row>
    <row r="615" spans="5:13" x14ac:dyDescent="0.3">
      <c r="E615" s="70">
        <v>585</v>
      </c>
      <c r="F615" s="70">
        <f t="shared" si="19"/>
        <v>2925</v>
      </c>
      <c r="G615" s="70">
        <v>58.300000000000303</v>
      </c>
      <c r="K615" s="70">
        <v>585</v>
      </c>
      <c r="L615" s="70">
        <f t="shared" si="20"/>
        <v>1170</v>
      </c>
      <c r="M615" s="70">
        <v>57.999999999999197</v>
      </c>
    </row>
    <row r="616" spans="5:13" x14ac:dyDescent="0.3">
      <c r="E616" s="70">
        <v>586</v>
      </c>
      <c r="F616" s="70">
        <f t="shared" si="19"/>
        <v>2930</v>
      </c>
      <c r="G616" s="70">
        <v>58.400000000000297</v>
      </c>
      <c r="K616" s="70">
        <v>586</v>
      </c>
      <c r="L616" s="70">
        <f t="shared" si="20"/>
        <v>1172</v>
      </c>
      <c r="M616" s="70">
        <v>58.099999999999199</v>
      </c>
    </row>
    <row r="617" spans="5:13" x14ac:dyDescent="0.3">
      <c r="E617" s="70">
        <v>587</v>
      </c>
      <c r="F617" s="70">
        <f t="shared" si="19"/>
        <v>2935</v>
      </c>
      <c r="G617" s="70">
        <v>58.500000000000298</v>
      </c>
      <c r="K617" s="70">
        <v>587</v>
      </c>
      <c r="L617" s="70">
        <f t="shared" si="20"/>
        <v>1174</v>
      </c>
      <c r="M617" s="70">
        <v>58.1999999999992</v>
      </c>
    </row>
    <row r="618" spans="5:13" x14ac:dyDescent="0.3">
      <c r="E618" s="70">
        <v>588</v>
      </c>
      <c r="F618" s="70">
        <f t="shared" si="19"/>
        <v>2940</v>
      </c>
      <c r="G618" s="70">
        <v>58.6000000000003</v>
      </c>
      <c r="K618" s="70">
        <v>588</v>
      </c>
      <c r="L618" s="70">
        <f t="shared" si="20"/>
        <v>1176</v>
      </c>
      <c r="M618" s="70">
        <v>58.299999999999201</v>
      </c>
    </row>
    <row r="619" spans="5:13" x14ac:dyDescent="0.3">
      <c r="E619" s="70">
        <v>589</v>
      </c>
      <c r="F619" s="70">
        <f t="shared" si="19"/>
        <v>2945</v>
      </c>
      <c r="G619" s="70">
        <v>58.700000000000301</v>
      </c>
      <c r="K619" s="70">
        <v>589</v>
      </c>
      <c r="L619" s="70">
        <f t="shared" si="20"/>
        <v>1178</v>
      </c>
      <c r="M619" s="70">
        <v>58.399999999999203</v>
      </c>
    </row>
    <row r="620" spans="5:13" x14ac:dyDescent="0.3">
      <c r="E620" s="70">
        <v>590</v>
      </c>
      <c r="F620" s="70">
        <f t="shared" si="19"/>
        <v>2950</v>
      </c>
      <c r="G620" s="70">
        <v>58.800000000000303</v>
      </c>
      <c r="K620" s="70">
        <v>590</v>
      </c>
      <c r="L620" s="70">
        <f t="shared" si="20"/>
        <v>1180</v>
      </c>
      <c r="M620" s="70">
        <v>58.499999999999197</v>
      </c>
    </row>
    <row r="621" spans="5:13" x14ac:dyDescent="0.3">
      <c r="E621" s="70">
        <v>591</v>
      </c>
      <c r="F621" s="70">
        <f t="shared" si="19"/>
        <v>2955</v>
      </c>
      <c r="G621" s="70">
        <v>58.900000000000297</v>
      </c>
      <c r="K621" s="70">
        <v>591</v>
      </c>
      <c r="L621" s="70">
        <f t="shared" si="20"/>
        <v>1182</v>
      </c>
      <c r="M621" s="70">
        <v>58.599999999999199</v>
      </c>
    </row>
    <row r="622" spans="5:13" x14ac:dyDescent="0.3">
      <c r="E622" s="70">
        <v>592</v>
      </c>
      <c r="F622" s="70">
        <f t="shared" si="19"/>
        <v>2960</v>
      </c>
      <c r="G622" s="70">
        <v>59.000000000000298</v>
      </c>
      <c r="K622" s="70">
        <v>592</v>
      </c>
      <c r="L622" s="70">
        <f t="shared" si="20"/>
        <v>1184</v>
      </c>
      <c r="M622" s="70">
        <v>58.6999999999992</v>
      </c>
    </row>
    <row r="623" spans="5:13" x14ac:dyDescent="0.3">
      <c r="E623" s="70">
        <v>593</v>
      </c>
      <c r="F623" s="70">
        <f t="shared" si="19"/>
        <v>2965</v>
      </c>
      <c r="G623" s="70">
        <v>59.1000000000003</v>
      </c>
      <c r="K623" s="70">
        <v>593</v>
      </c>
      <c r="L623" s="70">
        <f t="shared" si="20"/>
        <v>1186</v>
      </c>
      <c r="M623" s="70">
        <v>58.799999999999201</v>
      </c>
    </row>
    <row r="624" spans="5:13" x14ac:dyDescent="0.3">
      <c r="E624" s="70">
        <v>594</v>
      </c>
      <c r="F624" s="70">
        <f t="shared" si="19"/>
        <v>2970</v>
      </c>
      <c r="G624" s="70">
        <v>59.200000000000301</v>
      </c>
      <c r="K624" s="70">
        <v>594</v>
      </c>
      <c r="L624" s="70">
        <f t="shared" si="20"/>
        <v>1188</v>
      </c>
      <c r="M624" s="70">
        <v>58.899999999999203</v>
      </c>
    </row>
    <row r="625" spans="5:13" x14ac:dyDescent="0.3">
      <c r="E625" s="70">
        <v>595</v>
      </c>
      <c r="F625" s="70">
        <f t="shared" si="19"/>
        <v>2975</v>
      </c>
      <c r="G625" s="70">
        <v>59.300000000000303</v>
      </c>
      <c r="K625" s="70">
        <v>595</v>
      </c>
      <c r="L625" s="70">
        <f t="shared" si="20"/>
        <v>1190</v>
      </c>
      <c r="M625" s="70">
        <v>58.999999999999197</v>
      </c>
    </row>
    <row r="626" spans="5:13" x14ac:dyDescent="0.3">
      <c r="E626" s="70">
        <v>596</v>
      </c>
      <c r="F626" s="70">
        <f t="shared" si="19"/>
        <v>2980</v>
      </c>
      <c r="G626" s="70">
        <v>59.400000000000396</v>
      </c>
      <c r="K626" s="70">
        <v>596</v>
      </c>
      <c r="L626" s="70">
        <f t="shared" si="20"/>
        <v>1192</v>
      </c>
      <c r="M626" s="70">
        <v>59.099999999999199</v>
      </c>
    </row>
    <row r="627" spans="5:13" x14ac:dyDescent="0.3">
      <c r="E627" s="70">
        <v>597</v>
      </c>
      <c r="F627" s="70">
        <f t="shared" si="19"/>
        <v>2985</v>
      </c>
      <c r="G627" s="70">
        <v>59.500000000000398</v>
      </c>
      <c r="K627" s="70">
        <v>597</v>
      </c>
      <c r="L627" s="70">
        <f t="shared" si="20"/>
        <v>1194</v>
      </c>
      <c r="M627" s="70">
        <v>59.1999999999992</v>
      </c>
    </row>
    <row r="628" spans="5:13" x14ac:dyDescent="0.3">
      <c r="E628" s="70">
        <v>598</v>
      </c>
      <c r="F628" s="70">
        <f t="shared" si="19"/>
        <v>2990</v>
      </c>
      <c r="G628" s="70">
        <v>59.600000000000399</v>
      </c>
      <c r="K628" s="70">
        <v>598</v>
      </c>
      <c r="L628" s="70">
        <f t="shared" si="20"/>
        <v>1196</v>
      </c>
      <c r="M628" s="70">
        <v>59.299999999999201</v>
      </c>
    </row>
    <row r="629" spans="5:13" x14ac:dyDescent="0.3">
      <c r="E629" s="70">
        <v>599</v>
      </c>
      <c r="F629" s="70">
        <f t="shared" si="19"/>
        <v>2995</v>
      </c>
      <c r="G629" s="70">
        <v>59.700000000000401</v>
      </c>
      <c r="K629" s="70">
        <v>599</v>
      </c>
      <c r="L629" s="70">
        <f t="shared" si="20"/>
        <v>1198</v>
      </c>
      <c r="M629" s="70">
        <v>59.399999999999203</v>
      </c>
    </row>
    <row r="630" spans="5:13" x14ac:dyDescent="0.3">
      <c r="E630" s="70">
        <v>600</v>
      </c>
      <c r="F630" s="70">
        <f t="shared" si="19"/>
        <v>3000</v>
      </c>
      <c r="G630" s="70">
        <v>59.800000000000402</v>
      </c>
      <c r="K630" s="70">
        <v>600</v>
      </c>
      <c r="L630" s="70">
        <f t="shared" si="20"/>
        <v>1200</v>
      </c>
      <c r="M630" s="70">
        <v>59.499999999999197</v>
      </c>
    </row>
    <row r="631" spans="5:13" x14ac:dyDescent="0.3">
      <c r="E631" s="70">
        <v>601</v>
      </c>
      <c r="F631" s="70">
        <f t="shared" si="19"/>
        <v>3005</v>
      </c>
      <c r="G631" s="70">
        <v>59.900000000000396</v>
      </c>
      <c r="K631" s="70">
        <v>601</v>
      </c>
      <c r="L631" s="70">
        <f t="shared" si="20"/>
        <v>1202</v>
      </c>
      <c r="M631" s="70">
        <v>59.599999999999199</v>
      </c>
    </row>
    <row r="632" spans="5:13" x14ac:dyDescent="0.3">
      <c r="E632" s="70">
        <v>602</v>
      </c>
      <c r="F632" s="70">
        <f t="shared" si="19"/>
        <v>3010</v>
      </c>
      <c r="G632" s="70">
        <v>60.000000000000398</v>
      </c>
      <c r="K632" s="70">
        <v>602</v>
      </c>
      <c r="L632" s="70">
        <f t="shared" si="20"/>
        <v>1204</v>
      </c>
      <c r="M632" s="70">
        <v>59.6999999999992</v>
      </c>
    </row>
    <row r="633" spans="5:13" x14ac:dyDescent="0.3">
      <c r="E633" s="70">
        <v>603</v>
      </c>
      <c r="F633" s="70">
        <f t="shared" si="19"/>
        <v>3015</v>
      </c>
      <c r="G633" s="70">
        <v>60.100000000000399</v>
      </c>
      <c r="K633" s="70">
        <v>603</v>
      </c>
      <c r="L633" s="70">
        <f t="shared" si="20"/>
        <v>1206</v>
      </c>
      <c r="M633" s="70">
        <v>59.799999999999201</v>
      </c>
    </row>
    <row r="634" spans="5:13" x14ac:dyDescent="0.3">
      <c r="E634" s="70">
        <v>604</v>
      </c>
      <c r="F634" s="70">
        <f t="shared" si="19"/>
        <v>3020</v>
      </c>
      <c r="G634" s="70">
        <v>60.200000000000401</v>
      </c>
      <c r="K634" s="70">
        <v>604</v>
      </c>
      <c r="L634" s="70">
        <f t="shared" si="20"/>
        <v>1208</v>
      </c>
      <c r="M634" s="70">
        <v>59.899999999999203</v>
      </c>
    </row>
    <row r="635" spans="5:13" x14ac:dyDescent="0.3">
      <c r="E635" s="70">
        <v>605</v>
      </c>
      <c r="F635" s="70">
        <f t="shared" si="19"/>
        <v>3025</v>
      </c>
      <c r="G635" s="70">
        <v>60.300000000000402</v>
      </c>
      <c r="K635" s="70">
        <v>605</v>
      </c>
      <c r="L635" s="70">
        <f t="shared" si="20"/>
        <v>1210</v>
      </c>
      <c r="M635" s="70">
        <v>59.999999999999197</v>
      </c>
    </row>
    <row r="636" spans="5:13" x14ac:dyDescent="0.3">
      <c r="E636" s="70">
        <v>606</v>
      </c>
      <c r="F636" s="70">
        <f t="shared" si="19"/>
        <v>3030</v>
      </c>
      <c r="G636" s="70">
        <v>60.400000000000396</v>
      </c>
      <c r="K636" s="70">
        <v>606</v>
      </c>
      <c r="L636" s="70">
        <f t="shared" si="20"/>
        <v>1212</v>
      </c>
      <c r="M636" s="70">
        <v>60.099999999999199</v>
      </c>
    </row>
    <row r="637" spans="5:13" x14ac:dyDescent="0.3">
      <c r="E637" s="70">
        <v>607</v>
      </c>
      <c r="F637" s="70">
        <f t="shared" si="19"/>
        <v>3035</v>
      </c>
      <c r="G637" s="70">
        <v>60.500000000000398</v>
      </c>
      <c r="K637" s="70">
        <v>607</v>
      </c>
      <c r="L637" s="70">
        <f t="shared" si="20"/>
        <v>1214</v>
      </c>
      <c r="M637" s="70">
        <v>60.1999999999992</v>
      </c>
    </row>
    <row r="638" spans="5:13" x14ac:dyDescent="0.3">
      <c r="E638" s="70">
        <v>608</v>
      </c>
      <c r="F638" s="70">
        <f t="shared" si="19"/>
        <v>3040</v>
      </c>
      <c r="G638" s="70">
        <v>60.600000000000399</v>
      </c>
      <c r="K638" s="70">
        <v>608</v>
      </c>
      <c r="L638" s="70">
        <f t="shared" si="20"/>
        <v>1216</v>
      </c>
      <c r="M638" s="70">
        <v>60.299999999999201</v>
      </c>
    </row>
    <row r="639" spans="5:13" x14ac:dyDescent="0.3">
      <c r="E639" s="70">
        <v>609</v>
      </c>
      <c r="F639" s="70">
        <f t="shared" si="19"/>
        <v>3045</v>
      </c>
      <c r="G639" s="70">
        <v>60.700000000000401</v>
      </c>
      <c r="K639" s="70">
        <v>609</v>
      </c>
      <c r="L639" s="70">
        <f t="shared" si="20"/>
        <v>1218</v>
      </c>
      <c r="M639" s="70">
        <v>60.399999999999203</v>
      </c>
    </row>
    <row r="640" spans="5:13" x14ac:dyDescent="0.3">
      <c r="E640" s="70">
        <v>610</v>
      </c>
      <c r="F640" s="70">
        <f t="shared" si="19"/>
        <v>3050</v>
      </c>
      <c r="G640" s="70">
        <v>60.800000000000402</v>
      </c>
      <c r="K640" s="70">
        <v>610</v>
      </c>
      <c r="L640" s="70">
        <f t="shared" si="20"/>
        <v>1220</v>
      </c>
      <c r="M640" s="70">
        <v>60.499999999999197</v>
      </c>
    </row>
    <row r="641" spans="5:13" x14ac:dyDescent="0.3">
      <c r="E641" s="70">
        <v>611</v>
      </c>
      <c r="F641" s="70">
        <f t="shared" si="19"/>
        <v>3055</v>
      </c>
      <c r="G641" s="70">
        <v>60.900000000000396</v>
      </c>
      <c r="K641" s="70">
        <v>611</v>
      </c>
      <c r="L641" s="70">
        <f t="shared" si="20"/>
        <v>1222</v>
      </c>
      <c r="M641" s="70">
        <v>60.599999999999199</v>
      </c>
    </row>
    <row r="642" spans="5:13" x14ac:dyDescent="0.3">
      <c r="E642" s="70">
        <v>612</v>
      </c>
      <c r="F642" s="70">
        <f t="shared" si="19"/>
        <v>3060</v>
      </c>
      <c r="G642" s="70">
        <v>61.000000000000398</v>
      </c>
      <c r="K642" s="70">
        <v>612</v>
      </c>
      <c r="L642" s="70">
        <f t="shared" si="20"/>
        <v>1224</v>
      </c>
      <c r="M642" s="70">
        <v>60.6999999999992</v>
      </c>
    </row>
    <row r="643" spans="5:13" x14ac:dyDescent="0.3">
      <c r="E643" s="70">
        <v>613</v>
      </c>
      <c r="F643" s="70">
        <f t="shared" si="19"/>
        <v>3065</v>
      </c>
      <c r="G643" s="70">
        <v>61.100000000000399</v>
      </c>
      <c r="K643" s="70">
        <v>613</v>
      </c>
      <c r="L643" s="70">
        <f t="shared" si="20"/>
        <v>1226</v>
      </c>
      <c r="M643" s="70">
        <v>60.799999999999201</v>
      </c>
    </row>
    <row r="644" spans="5:13" x14ac:dyDescent="0.3">
      <c r="E644" s="70">
        <v>614</v>
      </c>
      <c r="F644" s="70">
        <f t="shared" si="19"/>
        <v>3070</v>
      </c>
      <c r="G644" s="70">
        <v>61.200000000000401</v>
      </c>
      <c r="K644" s="70">
        <v>614</v>
      </c>
      <c r="L644" s="70">
        <f t="shared" si="20"/>
        <v>1228</v>
      </c>
      <c r="M644" s="70">
        <v>60.899999999999203</v>
      </c>
    </row>
    <row r="645" spans="5:13" x14ac:dyDescent="0.3">
      <c r="E645" s="70">
        <v>615</v>
      </c>
      <c r="F645" s="70">
        <f t="shared" si="19"/>
        <v>3075</v>
      </c>
      <c r="G645" s="70">
        <v>61.300000000000402</v>
      </c>
      <c r="K645" s="70">
        <v>615</v>
      </c>
      <c r="L645" s="70">
        <f t="shared" si="20"/>
        <v>1230</v>
      </c>
      <c r="M645" s="70">
        <v>60.999999999999197</v>
      </c>
    </row>
    <row r="646" spans="5:13" x14ac:dyDescent="0.3">
      <c r="E646" s="70">
        <v>616</v>
      </c>
      <c r="F646" s="70">
        <f t="shared" si="19"/>
        <v>3080</v>
      </c>
      <c r="G646" s="70">
        <v>61.400000000000396</v>
      </c>
      <c r="K646" s="70">
        <v>616</v>
      </c>
      <c r="L646" s="70">
        <f t="shared" si="20"/>
        <v>1232</v>
      </c>
      <c r="M646" s="70">
        <v>61.099999999999199</v>
      </c>
    </row>
    <row r="647" spans="5:13" x14ac:dyDescent="0.3">
      <c r="E647" s="70">
        <v>617</v>
      </c>
      <c r="F647" s="70">
        <f t="shared" si="19"/>
        <v>3085</v>
      </c>
      <c r="G647" s="70">
        <v>61.500000000000398</v>
      </c>
      <c r="K647" s="70">
        <v>617</v>
      </c>
      <c r="L647" s="70">
        <f t="shared" si="20"/>
        <v>1234</v>
      </c>
      <c r="M647" s="70">
        <v>61.1999999999992</v>
      </c>
    </row>
    <row r="648" spans="5:13" x14ac:dyDescent="0.3">
      <c r="E648" s="70">
        <v>618</v>
      </c>
      <c r="F648" s="70">
        <f t="shared" si="19"/>
        <v>3090</v>
      </c>
      <c r="G648" s="70">
        <v>61.600000000000399</v>
      </c>
      <c r="K648" s="70">
        <v>618</v>
      </c>
      <c r="L648" s="70">
        <f t="shared" si="20"/>
        <v>1236</v>
      </c>
      <c r="M648" s="70">
        <v>61.299999999999201</v>
      </c>
    </row>
    <row r="649" spans="5:13" x14ac:dyDescent="0.3">
      <c r="E649" s="70">
        <v>619</v>
      </c>
      <c r="F649" s="70">
        <f t="shared" si="19"/>
        <v>3095</v>
      </c>
      <c r="G649" s="70">
        <v>61.700000000000401</v>
      </c>
      <c r="K649" s="70">
        <v>619</v>
      </c>
      <c r="L649" s="70">
        <f t="shared" si="20"/>
        <v>1238</v>
      </c>
      <c r="M649" s="70">
        <v>61.399999999999203</v>
      </c>
    </row>
    <row r="650" spans="5:13" x14ac:dyDescent="0.3">
      <c r="E650" s="70">
        <v>620</v>
      </c>
      <c r="F650" s="70">
        <f t="shared" si="19"/>
        <v>3100</v>
      </c>
      <c r="G650" s="70">
        <v>61.800000000000402</v>
      </c>
      <c r="K650" s="70">
        <v>620</v>
      </c>
      <c r="L650" s="70">
        <f t="shared" si="20"/>
        <v>1240</v>
      </c>
      <c r="M650" s="70">
        <v>61.499999999999197</v>
      </c>
    </row>
    <row r="651" spans="5:13" x14ac:dyDescent="0.3">
      <c r="E651" s="70">
        <v>621</v>
      </c>
      <c r="F651" s="70">
        <f t="shared" si="19"/>
        <v>3105</v>
      </c>
      <c r="G651" s="70">
        <v>61.900000000000396</v>
      </c>
      <c r="K651" s="70">
        <v>621</v>
      </c>
      <c r="L651" s="70">
        <f t="shared" si="20"/>
        <v>1242</v>
      </c>
      <c r="M651" s="70">
        <v>61.599999999999199</v>
      </c>
    </row>
    <row r="652" spans="5:13" x14ac:dyDescent="0.3">
      <c r="E652" s="70">
        <v>622</v>
      </c>
      <c r="F652" s="70">
        <f t="shared" si="19"/>
        <v>3110</v>
      </c>
      <c r="G652" s="70">
        <v>62.000000000000398</v>
      </c>
      <c r="K652" s="70">
        <v>622</v>
      </c>
      <c r="L652" s="70">
        <f t="shared" si="20"/>
        <v>1244</v>
      </c>
      <c r="M652" s="70">
        <v>61.6999999999992</v>
      </c>
    </row>
    <row r="653" spans="5:13" x14ac:dyDescent="0.3">
      <c r="E653" s="70">
        <v>623</v>
      </c>
      <c r="F653" s="70">
        <f t="shared" si="19"/>
        <v>3115</v>
      </c>
      <c r="G653" s="70">
        <v>62.100000000000399</v>
      </c>
      <c r="K653" s="70">
        <v>623</v>
      </c>
      <c r="L653" s="70">
        <f t="shared" si="20"/>
        <v>1246</v>
      </c>
      <c r="M653" s="70">
        <v>61.799999999999201</v>
      </c>
    </row>
    <row r="654" spans="5:13" x14ac:dyDescent="0.3">
      <c r="E654" s="70">
        <v>624</v>
      </c>
      <c r="F654" s="70">
        <f t="shared" si="19"/>
        <v>3120</v>
      </c>
      <c r="G654" s="70">
        <v>62.200000000000401</v>
      </c>
      <c r="K654" s="70">
        <v>624</v>
      </c>
      <c r="L654" s="70">
        <f t="shared" si="20"/>
        <v>1248</v>
      </c>
      <c r="M654" s="70">
        <v>61.899999999999203</v>
      </c>
    </row>
    <row r="655" spans="5:13" x14ac:dyDescent="0.3">
      <c r="E655" s="70">
        <v>625</v>
      </c>
      <c r="F655" s="70">
        <f t="shared" si="19"/>
        <v>3125</v>
      </c>
      <c r="G655" s="70">
        <v>62.300000000000402</v>
      </c>
      <c r="K655" s="70">
        <v>625</v>
      </c>
      <c r="L655" s="70">
        <f t="shared" si="20"/>
        <v>1250</v>
      </c>
      <c r="M655" s="70">
        <v>61.999999999999197</v>
      </c>
    </row>
    <row r="656" spans="5:13" x14ac:dyDescent="0.3">
      <c r="E656" s="70">
        <v>626</v>
      </c>
      <c r="F656" s="70">
        <f t="shared" si="19"/>
        <v>3130</v>
      </c>
      <c r="G656" s="70">
        <v>62.400000000000396</v>
      </c>
      <c r="K656" s="70">
        <v>626</v>
      </c>
      <c r="L656" s="70">
        <f t="shared" si="20"/>
        <v>1252</v>
      </c>
      <c r="M656" s="70">
        <v>62.099999999999199</v>
      </c>
    </row>
    <row r="657" spans="5:13" x14ac:dyDescent="0.3">
      <c r="E657" s="70">
        <v>627</v>
      </c>
      <c r="F657" s="70">
        <f t="shared" si="19"/>
        <v>3135</v>
      </c>
      <c r="G657" s="70">
        <v>62.500000000000398</v>
      </c>
      <c r="K657" s="70">
        <v>627</v>
      </c>
      <c r="L657" s="70">
        <f t="shared" si="20"/>
        <v>1254</v>
      </c>
      <c r="M657" s="70">
        <v>62.1999999999992</v>
      </c>
    </row>
    <row r="658" spans="5:13" x14ac:dyDescent="0.3">
      <c r="E658" s="70">
        <v>628</v>
      </c>
      <c r="F658" s="70">
        <f t="shared" si="19"/>
        <v>3140</v>
      </c>
      <c r="G658" s="70">
        <v>62.600000000000399</v>
      </c>
      <c r="K658" s="70">
        <v>628</v>
      </c>
      <c r="L658" s="70">
        <f t="shared" si="20"/>
        <v>1256</v>
      </c>
      <c r="M658" s="70">
        <v>62.299999999999201</v>
      </c>
    </row>
    <row r="659" spans="5:13" x14ac:dyDescent="0.3">
      <c r="E659" s="70">
        <v>629</v>
      </c>
      <c r="F659" s="70">
        <f t="shared" si="19"/>
        <v>3145</v>
      </c>
      <c r="G659" s="70">
        <v>62.700000000000401</v>
      </c>
      <c r="K659" s="70">
        <v>629</v>
      </c>
      <c r="L659" s="70">
        <f t="shared" si="20"/>
        <v>1258</v>
      </c>
      <c r="M659" s="70">
        <v>62.399999999999203</v>
      </c>
    </row>
    <row r="660" spans="5:13" x14ac:dyDescent="0.3">
      <c r="E660" s="70">
        <v>630</v>
      </c>
      <c r="F660" s="70">
        <f t="shared" si="19"/>
        <v>3150</v>
      </c>
      <c r="G660" s="70">
        <v>62.800000000000402</v>
      </c>
      <c r="K660" s="70">
        <v>630</v>
      </c>
      <c r="L660" s="70">
        <f t="shared" si="20"/>
        <v>1260</v>
      </c>
      <c r="M660" s="70">
        <v>62.499999999999098</v>
      </c>
    </row>
    <row r="661" spans="5:13" x14ac:dyDescent="0.3">
      <c r="E661" s="70">
        <v>631</v>
      </c>
      <c r="F661" s="70">
        <f t="shared" si="19"/>
        <v>3155</v>
      </c>
      <c r="G661" s="70">
        <v>62.900000000000396</v>
      </c>
      <c r="K661" s="70">
        <v>631</v>
      </c>
      <c r="L661" s="70">
        <f t="shared" si="20"/>
        <v>1262</v>
      </c>
      <c r="M661" s="70">
        <v>62.599999999999099</v>
      </c>
    </row>
    <row r="662" spans="5:13" x14ac:dyDescent="0.3">
      <c r="E662" s="70">
        <v>632</v>
      </c>
      <c r="F662" s="70">
        <f t="shared" si="19"/>
        <v>3160</v>
      </c>
      <c r="G662" s="70">
        <v>63.000000000000398</v>
      </c>
      <c r="K662" s="70">
        <v>632</v>
      </c>
      <c r="L662" s="70">
        <f t="shared" si="20"/>
        <v>1264</v>
      </c>
      <c r="M662" s="70">
        <v>62.6999999999991</v>
      </c>
    </row>
    <row r="663" spans="5:13" x14ac:dyDescent="0.3">
      <c r="E663" s="70">
        <v>633</v>
      </c>
      <c r="F663" s="70">
        <f t="shared" si="19"/>
        <v>3165</v>
      </c>
      <c r="G663" s="70">
        <v>63.100000000000399</v>
      </c>
      <c r="K663" s="70">
        <v>633</v>
      </c>
      <c r="L663" s="70">
        <f t="shared" si="20"/>
        <v>1266</v>
      </c>
      <c r="M663" s="70">
        <v>62.799999999999102</v>
      </c>
    </row>
    <row r="664" spans="5:13" x14ac:dyDescent="0.3">
      <c r="E664" s="70">
        <v>634</v>
      </c>
      <c r="F664" s="70">
        <f t="shared" si="19"/>
        <v>3170</v>
      </c>
      <c r="G664" s="70">
        <v>63.200000000000401</v>
      </c>
      <c r="K664" s="70">
        <v>634</v>
      </c>
      <c r="L664" s="70">
        <f t="shared" si="20"/>
        <v>1268</v>
      </c>
      <c r="M664" s="70">
        <v>62.899999999999103</v>
      </c>
    </row>
    <row r="665" spans="5:13" x14ac:dyDescent="0.3">
      <c r="E665" s="70">
        <v>635</v>
      </c>
      <c r="F665" s="70">
        <f t="shared" si="19"/>
        <v>3175</v>
      </c>
      <c r="G665" s="70">
        <v>63.300000000000402</v>
      </c>
      <c r="K665" s="70">
        <v>635</v>
      </c>
      <c r="L665" s="70">
        <f t="shared" si="20"/>
        <v>1270</v>
      </c>
      <c r="M665" s="70">
        <v>62.999999999999098</v>
      </c>
    </row>
    <row r="666" spans="5:13" x14ac:dyDescent="0.3">
      <c r="E666" s="70">
        <v>636</v>
      </c>
      <c r="F666" s="70">
        <f t="shared" si="19"/>
        <v>3180</v>
      </c>
      <c r="G666" s="70">
        <v>63.400000000000396</v>
      </c>
      <c r="K666" s="70">
        <v>636</v>
      </c>
      <c r="L666" s="70">
        <f t="shared" si="20"/>
        <v>1272</v>
      </c>
      <c r="M666" s="70">
        <v>63.099999999999099</v>
      </c>
    </row>
    <row r="667" spans="5:13" x14ac:dyDescent="0.3">
      <c r="E667" s="70">
        <v>637</v>
      </c>
      <c r="F667" s="70">
        <f t="shared" si="19"/>
        <v>3185</v>
      </c>
      <c r="G667" s="70">
        <v>63.500000000000398</v>
      </c>
      <c r="K667" s="70">
        <v>637</v>
      </c>
      <c r="L667" s="70">
        <f t="shared" si="20"/>
        <v>1274</v>
      </c>
      <c r="M667" s="70">
        <v>63.1999999999991</v>
      </c>
    </row>
    <row r="668" spans="5:13" x14ac:dyDescent="0.3">
      <c r="E668" s="70">
        <v>638</v>
      </c>
      <c r="F668" s="70">
        <f t="shared" si="19"/>
        <v>3190</v>
      </c>
      <c r="G668" s="70">
        <v>63.600000000000399</v>
      </c>
      <c r="K668" s="70">
        <v>638</v>
      </c>
      <c r="L668" s="70">
        <f t="shared" si="20"/>
        <v>1276</v>
      </c>
      <c r="M668" s="70">
        <v>63.299999999999102</v>
      </c>
    </row>
    <row r="669" spans="5:13" x14ac:dyDescent="0.3">
      <c r="E669" s="70">
        <v>639</v>
      </c>
      <c r="F669" s="70">
        <f t="shared" si="19"/>
        <v>3195</v>
      </c>
      <c r="G669" s="70">
        <v>63.700000000000401</v>
      </c>
      <c r="K669" s="70">
        <v>639</v>
      </c>
      <c r="L669" s="70">
        <f t="shared" si="20"/>
        <v>1278</v>
      </c>
      <c r="M669" s="70">
        <v>63.399999999999103</v>
      </c>
    </row>
    <row r="670" spans="5:13" x14ac:dyDescent="0.3">
      <c r="E670" s="70">
        <v>640</v>
      </c>
      <c r="F670" s="70">
        <f t="shared" si="19"/>
        <v>3200</v>
      </c>
      <c r="G670" s="70">
        <v>63.800000000000402</v>
      </c>
      <c r="K670" s="70">
        <v>640</v>
      </c>
      <c r="L670" s="70">
        <f t="shared" si="20"/>
        <v>1280</v>
      </c>
      <c r="M670" s="70">
        <v>63.499999999999098</v>
      </c>
    </row>
    <row r="671" spans="5:13" x14ac:dyDescent="0.3">
      <c r="E671" s="70">
        <v>641</v>
      </c>
      <c r="F671" s="70">
        <f t="shared" si="19"/>
        <v>3205</v>
      </c>
      <c r="G671" s="70">
        <v>63.900000000000396</v>
      </c>
      <c r="K671" s="70">
        <v>641</v>
      </c>
      <c r="L671" s="70">
        <f t="shared" si="20"/>
        <v>1282</v>
      </c>
      <c r="M671" s="70">
        <v>63.599999999999099</v>
      </c>
    </row>
    <row r="672" spans="5:13" x14ac:dyDescent="0.3">
      <c r="E672" s="70">
        <v>642</v>
      </c>
      <c r="F672" s="70">
        <f t="shared" si="19"/>
        <v>3210</v>
      </c>
      <c r="G672" s="70">
        <v>64.000000000000398</v>
      </c>
      <c r="K672" s="70">
        <v>642</v>
      </c>
      <c r="L672" s="70">
        <f t="shared" si="20"/>
        <v>1284</v>
      </c>
      <c r="M672" s="70">
        <v>63.6999999999991</v>
      </c>
    </row>
    <row r="673" spans="5:13" x14ac:dyDescent="0.3">
      <c r="E673" s="70">
        <v>643</v>
      </c>
      <c r="F673" s="70">
        <f t="shared" ref="F673:F736" si="21">+F672+$F$27</f>
        <v>3215</v>
      </c>
      <c r="G673" s="70">
        <v>64.100000000000406</v>
      </c>
      <c r="K673" s="70">
        <v>643</v>
      </c>
      <c r="L673" s="70">
        <f t="shared" ref="L673:L736" si="22">+L672+$L$27</f>
        <v>1286</v>
      </c>
      <c r="M673" s="70">
        <v>63.799999999999102</v>
      </c>
    </row>
    <row r="674" spans="5:13" x14ac:dyDescent="0.3">
      <c r="E674" s="70">
        <v>644</v>
      </c>
      <c r="F674" s="70">
        <f t="shared" si="21"/>
        <v>3220</v>
      </c>
      <c r="G674" s="70">
        <v>64.200000000000401</v>
      </c>
      <c r="K674" s="70">
        <v>644</v>
      </c>
      <c r="L674" s="70">
        <f t="shared" si="22"/>
        <v>1288</v>
      </c>
      <c r="M674" s="70">
        <v>63.899999999999103</v>
      </c>
    </row>
    <row r="675" spans="5:13" x14ac:dyDescent="0.3">
      <c r="E675" s="70">
        <v>645</v>
      </c>
      <c r="F675" s="70">
        <f t="shared" si="21"/>
        <v>3225</v>
      </c>
      <c r="G675" s="70">
        <v>64.300000000000395</v>
      </c>
      <c r="K675" s="70">
        <v>645</v>
      </c>
      <c r="L675" s="70">
        <f t="shared" si="22"/>
        <v>1290</v>
      </c>
      <c r="M675" s="70">
        <v>63.999999999999098</v>
      </c>
    </row>
    <row r="676" spans="5:13" x14ac:dyDescent="0.3">
      <c r="E676" s="70">
        <v>646</v>
      </c>
      <c r="F676" s="70">
        <f t="shared" si="21"/>
        <v>3230</v>
      </c>
      <c r="G676" s="70">
        <v>64.400000000000404</v>
      </c>
      <c r="K676" s="70">
        <v>646</v>
      </c>
      <c r="L676" s="70">
        <f t="shared" si="22"/>
        <v>1292</v>
      </c>
      <c r="M676" s="70">
        <v>64.099999999999099</v>
      </c>
    </row>
    <row r="677" spans="5:13" x14ac:dyDescent="0.3">
      <c r="E677" s="70">
        <v>647</v>
      </c>
      <c r="F677" s="70">
        <f t="shared" si="21"/>
        <v>3235</v>
      </c>
      <c r="G677" s="70">
        <v>64.500000000000398</v>
      </c>
      <c r="K677" s="70">
        <v>647</v>
      </c>
      <c r="L677" s="70">
        <f t="shared" si="22"/>
        <v>1294</v>
      </c>
      <c r="M677" s="70">
        <v>64.199999999999093</v>
      </c>
    </row>
    <row r="678" spans="5:13" x14ac:dyDescent="0.3">
      <c r="E678" s="70">
        <v>648</v>
      </c>
      <c r="F678" s="70">
        <f t="shared" si="21"/>
        <v>3240</v>
      </c>
      <c r="G678" s="70">
        <v>64.600000000000406</v>
      </c>
      <c r="K678" s="70">
        <v>648</v>
      </c>
      <c r="L678" s="70">
        <f t="shared" si="22"/>
        <v>1296</v>
      </c>
      <c r="M678" s="70">
        <v>64.299999999999102</v>
      </c>
    </row>
    <row r="679" spans="5:13" x14ac:dyDescent="0.3">
      <c r="E679" s="70">
        <v>649</v>
      </c>
      <c r="F679" s="70">
        <f t="shared" si="21"/>
        <v>3245</v>
      </c>
      <c r="G679" s="70">
        <v>64.700000000000401</v>
      </c>
      <c r="K679" s="70">
        <v>649</v>
      </c>
      <c r="L679" s="70">
        <f t="shared" si="22"/>
        <v>1298</v>
      </c>
      <c r="M679" s="70">
        <v>64.399999999999096</v>
      </c>
    </row>
    <row r="680" spans="5:13" x14ac:dyDescent="0.3">
      <c r="E680" s="70">
        <v>650</v>
      </c>
      <c r="F680" s="70">
        <f t="shared" si="21"/>
        <v>3250</v>
      </c>
      <c r="G680" s="70">
        <v>64.800000000000395</v>
      </c>
      <c r="K680" s="70">
        <v>650</v>
      </c>
      <c r="L680" s="70">
        <f t="shared" si="22"/>
        <v>1300</v>
      </c>
      <c r="M680" s="70">
        <v>64.499999999999105</v>
      </c>
    </row>
    <row r="681" spans="5:13" x14ac:dyDescent="0.3">
      <c r="E681" s="70">
        <v>651</v>
      </c>
      <c r="F681" s="70">
        <f t="shared" si="21"/>
        <v>3255</v>
      </c>
      <c r="G681" s="70">
        <v>64.900000000000404</v>
      </c>
      <c r="K681" s="70">
        <v>651</v>
      </c>
      <c r="L681" s="70">
        <f t="shared" si="22"/>
        <v>1302</v>
      </c>
      <c r="M681" s="70">
        <v>64.599999999999099</v>
      </c>
    </row>
    <row r="682" spans="5:13" x14ac:dyDescent="0.3">
      <c r="E682" s="70">
        <v>652</v>
      </c>
      <c r="F682" s="70">
        <f t="shared" si="21"/>
        <v>3260</v>
      </c>
      <c r="G682" s="70">
        <v>65.000000000000398</v>
      </c>
      <c r="K682" s="70">
        <v>652</v>
      </c>
      <c r="L682" s="70">
        <f t="shared" si="22"/>
        <v>1304</v>
      </c>
      <c r="M682" s="70">
        <v>64.699999999999093</v>
      </c>
    </row>
    <row r="683" spans="5:13" x14ac:dyDescent="0.3">
      <c r="E683" s="70">
        <v>653</v>
      </c>
      <c r="F683" s="70">
        <f t="shared" si="21"/>
        <v>3265</v>
      </c>
      <c r="G683" s="70">
        <v>65.100000000000406</v>
      </c>
      <c r="K683" s="70">
        <v>653</v>
      </c>
      <c r="L683" s="70">
        <f t="shared" si="22"/>
        <v>1306</v>
      </c>
      <c r="M683" s="70">
        <v>64.799999999999102</v>
      </c>
    </row>
    <row r="684" spans="5:13" x14ac:dyDescent="0.3">
      <c r="E684" s="70">
        <v>654</v>
      </c>
      <c r="F684" s="70">
        <f t="shared" si="21"/>
        <v>3270</v>
      </c>
      <c r="G684" s="70">
        <v>65.200000000000401</v>
      </c>
      <c r="K684" s="70">
        <v>654</v>
      </c>
      <c r="L684" s="70">
        <f t="shared" si="22"/>
        <v>1308</v>
      </c>
      <c r="M684" s="70">
        <v>64.899999999999096</v>
      </c>
    </row>
    <row r="685" spans="5:13" x14ac:dyDescent="0.3">
      <c r="E685" s="70">
        <v>655</v>
      </c>
      <c r="F685" s="70">
        <f t="shared" si="21"/>
        <v>3275</v>
      </c>
      <c r="G685" s="70">
        <v>65.300000000000395</v>
      </c>
      <c r="K685" s="70">
        <v>655</v>
      </c>
      <c r="L685" s="70">
        <f t="shared" si="22"/>
        <v>1310</v>
      </c>
      <c r="M685" s="70">
        <v>64.999999999999105</v>
      </c>
    </row>
    <row r="686" spans="5:13" x14ac:dyDescent="0.3">
      <c r="E686" s="70">
        <v>656</v>
      </c>
      <c r="F686" s="70">
        <f t="shared" si="21"/>
        <v>3280</v>
      </c>
      <c r="G686" s="70">
        <v>65.400000000000404</v>
      </c>
      <c r="K686" s="70">
        <v>656</v>
      </c>
      <c r="L686" s="70">
        <f t="shared" si="22"/>
        <v>1312</v>
      </c>
      <c r="M686" s="70">
        <v>65.099999999999099</v>
      </c>
    </row>
    <row r="687" spans="5:13" x14ac:dyDescent="0.3">
      <c r="E687" s="70">
        <v>657</v>
      </c>
      <c r="F687" s="70">
        <f t="shared" si="21"/>
        <v>3285</v>
      </c>
      <c r="G687" s="70">
        <v>65.500000000000398</v>
      </c>
      <c r="K687" s="70">
        <v>657</v>
      </c>
      <c r="L687" s="70">
        <f t="shared" si="22"/>
        <v>1314</v>
      </c>
      <c r="M687" s="70">
        <v>65.199999999999093</v>
      </c>
    </row>
    <row r="688" spans="5:13" x14ac:dyDescent="0.3">
      <c r="E688" s="70">
        <v>658</v>
      </c>
      <c r="F688" s="70">
        <f t="shared" si="21"/>
        <v>3290</v>
      </c>
      <c r="G688" s="70">
        <v>65.600000000000406</v>
      </c>
      <c r="K688" s="70">
        <v>658</v>
      </c>
      <c r="L688" s="70">
        <f t="shared" si="22"/>
        <v>1316</v>
      </c>
      <c r="M688" s="70">
        <v>65.299999999999102</v>
      </c>
    </row>
    <row r="689" spans="5:13" x14ac:dyDescent="0.3">
      <c r="E689" s="70">
        <v>659</v>
      </c>
      <c r="F689" s="70">
        <f t="shared" si="21"/>
        <v>3295</v>
      </c>
      <c r="G689" s="70">
        <v>65.700000000000401</v>
      </c>
      <c r="K689" s="70">
        <v>659</v>
      </c>
      <c r="L689" s="70">
        <f t="shared" si="22"/>
        <v>1318</v>
      </c>
      <c r="M689" s="70">
        <v>65.399999999999096</v>
      </c>
    </row>
    <row r="690" spans="5:13" x14ac:dyDescent="0.3">
      <c r="E690" s="70">
        <v>660</v>
      </c>
      <c r="F690" s="70">
        <f t="shared" si="21"/>
        <v>3300</v>
      </c>
      <c r="G690" s="70">
        <v>65.800000000000395</v>
      </c>
      <c r="K690" s="70">
        <v>660</v>
      </c>
      <c r="L690" s="70">
        <f t="shared" si="22"/>
        <v>1320</v>
      </c>
      <c r="M690" s="70">
        <v>65.499999999999105</v>
      </c>
    </row>
    <row r="691" spans="5:13" x14ac:dyDescent="0.3">
      <c r="E691" s="70">
        <v>661</v>
      </c>
      <c r="F691" s="70">
        <f t="shared" si="21"/>
        <v>3305</v>
      </c>
      <c r="G691" s="70">
        <v>65.900000000000404</v>
      </c>
      <c r="K691" s="70">
        <v>661</v>
      </c>
      <c r="L691" s="70">
        <f t="shared" si="22"/>
        <v>1322</v>
      </c>
      <c r="M691" s="70">
        <v>65.599999999999099</v>
      </c>
    </row>
    <row r="692" spans="5:13" x14ac:dyDescent="0.3">
      <c r="E692" s="70">
        <v>662</v>
      </c>
      <c r="F692" s="70">
        <f t="shared" si="21"/>
        <v>3310</v>
      </c>
      <c r="G692" s="70">
        <v>66.000000000000398</v>
      </c>
      <c r="K692" s="70">
        <v>662</v>
      </c>
      <c r="L692" s="70">
        <f t="shared" si="22"/>
        <v>1324</v>
      </c>
      <c r="M692" s="70">
        <v>65.699999999999093</v>
      </c>
    </row>
    <row r="693" spans="5:13" x14ac:dyDescent="0.3">
      <c r="E693" s="70">
        <v>663</v>
      </c>
      <c r="F693" s="70">
        <f t="shared" si="21"/>
        <v>3315</v>
      </c>
      <c r="G693" s="70">
        <v>66.100000000000406</v>
      </c>
      <c r="K693" s="70">
        <v>663</v>
      </c>
      <c r="L693" s="70">
        <f t="shared" si="22"/>
        <v>1326</v>
      </c>
      <c r="M693" s="70">
        <v>65.799999999999102</v>
      </c>
    </row>
    <row r="694" spans="5:13" x14ac:dyDescent="0.3">
      <c r="E694" s="70">
        <v>664</v>
      </c>
      <c r="F694" s="70">
        <f t="shared" si="21"/>
        <v>3320</v>
      </c>
      <c r="G694" s="70">
        <v>66.200000000000401</v>
      </c>
      <c r="K694" s="70">
        <v>664</v>
      </c>
      <c r="L694" s="70">
        <f t="shared" si="22"/>
        <v>1328</v>
      </c>
      <c r="M694" s="70">
        <v>65.899999999999096</v>
      </c>
    </row>
    <row r="695" spans="5:13" x14ac:dyDescent="0.3">
      <c r="E695" s="70">
        <v>665</v>
      </c>
      <c r="F695" s="70">
        <f t="shared" si="21"/>
        <v>3325</v>
      </c>
      <c r="G695" s="70">
        <v>66.300000000000395</v>
      </c>
      <c r="K695" s="70">
        <v>665</v>
      </c>
      <c r="L695" s="70">
        <f t="shared" si="22"/>
        <v>1330</v>
      </c>
      <c r="M695" s="70">
        <v>65.999999999999105</v>
      </c>
    </row>
    <row r="696" spans="5:13" x14ac:dyDescent="0.3">
      <c r="E696" s="70">
        <v>666</v>
      </c>
      <c r="F696" s="70">
        <f t="shared" si="21"/>
        <v>3330</v>
      </c>
      <c r="G696" s="70">
        <v>66.400000000000404</v>
      </c>
      <c r="K696" s="70">
        <v>666</v>
      </c>
      <c r="L696" s="70">
        <f t="shared" si="22"/>
        <v>1332</v>
      </c>
      <c r="M696" s="70">
        <v>66.099999999999099</v>
      </c>
    </row>
    <row r="697" spans="5:13" x14ac:dyDescent="0.3">
      <c r="E697" s="70">
        <v>667</v>
      </c>
      <c r="F697" s="70">
        <f t="shared" si="21"/>
        <v>3335</v>
      </c>
      <c r="G697" s="70">
        <v>66.500000000000497</v>
      </c>
      <c r="K697" s="70">
        <v>667</v>
      </c>
      <c r="L697" s="70">
        <f t="shared" si="22"/>
        <v>1334</v>
      </c>
      <c r="M697" s="70">
        <v>66.199999999999093</v>
      </c>
    </row>
    <row r="698" spans="5:13" x14ac:dyDescent="0.3">
      <c r="E698" s="70">
        <v>668</v>
      </c>
      <c r="F698" s="70">
        <f t="shared" si="21"/>
        <v>3340</v>
      </c>
      <c r="G698" s="70">
        <v>66.600000000000506</v>
      </c>
      <c r="K698" s="70">
        <v>668</v>
      </c>
      <c r="L698" s="70">
        <f t="shared" si="22"/>
        <v>1336</v>
      </c>
      <c r="M698" s="70">
        <v>66.299999999999102</v>
      </c>
    </row>
    <row r="699" spans="5:13" x14ac:dyDescent="0.3">
      <c r="E699" s="70">
        <v>669</v>
      </c>
      <c r="F699" s="70">
        <f t="shared" si="21"/>
        <v>3345</v>
      </c>
      <c r="G699" s="70">
        <v>66.7000000000005</v>
      </c>
      <c r="K699" s="70">
        <v>669</v>
      </c>
      <c r="L699" s="70">
        <f t="shared" si="22"/>
        <v>1338</v>
      </c>
      <c r="M699" s="70">
        <v>66.399999999999096</v>
      </c>
    </row>
    <row r="700" spans="5:13" x14ac:dyDescent="0.3">
      <c r="E700" s="70">
        <v>670</v>
      </c>
      <c r="F700" s="70">
        <f t="shared" si="21"/>
        <v>3350</v>
      </c>
      <c r="G700" s="70">
        <v>66.800000000000495</v>
      </c>
      <c r="K700" s="70">
        <v>670</v>
      </c>
      <c r="L700" s="70">
        <f t="shared" si="22"/>
        <v>1340</v>
      </c>
      <c r="M700" s="70">
        <v>66.499999999999105</v>
      </c>
    </row>
    <row r="701" spans="5:13" x14ac:dyDescent="0.3">
      <c r="E701" s="70">
        <v>671</v>
      </c>
      <c r="F701" s="70">
        <f t="shared" si="21"/>
        <v>3355</v>
      </c>
      <c r="G701" s="70">
        <v>66.900000000000503</v>
      </c>
      <c r="K701" s="70">
        <v>671</v>
      </c>
      <c r="L701" s="70">
        <f t="shared" si="22"/>
        <v>1342</v>
      </c>
      <c r="M701" s="70">
        <v>66.599999999999099</v>
      </c>
    </row>
    <row r="702" spans="5:13" x14ac:dyDescent="0.3">
      <c r="E702" s="70">
        <v>672</v>
      </c>
      <c r="F702" s="70">
        <f t="shared" si="21"/>
        <v>3360</v>
      </c>
      <c r="G702" s="70">
        <v>67.000000000000497</v>
      </c>
      <c r="K702" s="70">
        <v>672</v>
      </c>
      <c r="L702" s="70">
        <f t="shared" si="22"/>
        <v>1344</v>
      </c>
      <c r="M702" s="70">
        <v>66.699999999999093</v>
      </c>
    </row>
    <row r="703" spans="5:13" x14ac:dyDescent="0.3">
      <c r="E703" s="70">
        <v>673</v>
      </c>
      <c r="F703" s="70">
        <f t="shared" si="21"/>
        <v>3365</v>
      </c>
      <c r="G703" s="70">
        <v>67.100000000000506</v>
      </c>
      <c r="K703" s="70">
        <v>673</v>
      </c>
      <c r="L703" s="70">
        <f t="shared" si="22"/>
        <v>1346</v>
      </c>
      <c r="M703" s="70">
        <v>66.799999999999102</v>
      </c>
    </row>
    <row r="704" spans="5:13" x14ac:dyDescent="0.3">
      <c r="E704" s="70">
        <v>674</v>
      </c>
      <c r="F704" s="70">
        <f t="shared" si="21"/>
        <v>3370</v>
      </c>
      <c r="G704" s="70">
        <v>67.2000000000005</v>
      </c>
      <c r="K704" s="70">
        <v>674</v>
      </c>
      <c r="L704" s="70">
        <f t="shared" si="22"/>
        <v>1348</v>
      </c>
      <c r="M704" s="70">
        <v>66.899999999999096</v>
      </c>
    </row>
    <row r="705" spans="5:13" x14ac:dyDescent="0.3">
      <c r="E705" s="70">
        <v>675</v>
      </c>
      <c r="F705" s="70">
        <f t="shared" si="21"/>
        <v>3375</v>
      </c>
      <c r="G705" s="70">
        <v>67.300000000000495</v>
      </c>
      <c r="K705" s="70">
        <v>675</v>
      </c>
      <c r="L705" s="70">
        <f t="shared" si="22"/>
        <v>1350</v>
      </c>
      <c r="M705" s="70">
        <v>66.999999999999105</v>
      </c>
    </row>
    <row r="706" spans="5:13" x14ac:dyDescent="0.3">
      <c r="E706" s="70">
        <v>676</v>
      </c>
      <c r="F706" s="70">
        <f t="shared" si="21"/>
        <v>3380</v>
      </c>
      <c r="G706" s="70">
        <v>67.400000000000503</v>
      </c>
      <c r="K706" s="70">
        <v>676</v>
      </c>
      <c r="L706" s="70">
        <f t="shared" si="22"/>
        <v>1352</v>
      </c>
      <c r="M706" s="70">
        <v>67.099999999999099</v>
      </c>
    </row>
    <row r="707" spans="5:13" x14ac:dyDescent="0.3">
      <c r="E707" s="70">
        <v>677</v>
      </c>
      <c r="F707" s="70">
        <f t="shared" si="21"/>
        <v>3385</v>
      </c>
      <c r="G707" s="70">
        <v>67.500000000000497</v>
      </c>
      <c r="K707" s="70">
        <v>677</v>
      </c>
      <c r="L707" s="70">
        <f t="shared" si="22"/>
        <v>1354</v>
      </c>
      <c r="M707" s="70">
        <v>67.199999999999093</v>
      </c>
    </row>
    <row r="708" spans="5:13" x14ac:dyDescent="0.3">
      <c r="E708" s="70">
        <v>678</v>
      </c>
      <c r="F708" s="70">
        <f t="shared" si="21"/>
        <v>3390</v>
      </c>
      <c r="G708" s="70">
        <v>67.600000000000506</v>
      </c>
      <c r="K708" s="70">
        <v>678</v>
      </c>
      <c r="L708" s="70">
        <f t="shared" si="22"/>
        <v>1356</v>
      </c>
      <c r="M708" s="70">
        <v>67.299999999999002</v>
      </c>
    </row>
    <row r="709" spans="5:13" x14ac:dyDescent="0.3">
      <c r="E709" s="70">
        <v>679</v>
      </c>
      <c r="F709" s="70">
        <f t="shared" si="21"/>
        <v>3395</v>
      </c>
      <c r="G709" s="70">
        <v>67.7000000000005</v>
      </c>
      <c r="K709" s="70">
        <v>679</v>
      </c>
      <c r="L709" s="70">
        <f t="shared" si="22"/>
        <v>1358</v>
      </c>
      <c r="M709" s="70">
        <v>67.399999999998997</v>
      </c>
    </row>
    <row r="710" spans="5:13" x14ac:dyDescent="0.3">
      <c r="E710" s="70">
        <v>680</v>
      </c>
      <c r="F710" s="70">
        <f t="shared" si="21"/>
        <v>3400</v>
      </c>
      <c r="G710" s="70">
        <v>67.800000000000495</v>
      </c>
      <c r="K710" s="70">
        <v>680</v>
      </c>
      <c r="L710" s="70">
        <f t="shared" si="22"/>
        <v>1360</v>
      </c>
      <c r="M710" s="70">
        <v>67.499999999999005</v>
      </c>
    </row>
    <row r="711" spans="5:13" x14ac:dyDescent="0.3">
      <c r="E711" s="70">
        <v>681</v>
      </c>
      <c r="F711" s="70">
        <f t="shared" si="21"/>
        <v>3405</v>
      </c>
      <c r="G711" s="70">
        <v>67.900000000000503</v>
      </c>
      <c r="K711" s="70">
        <v>681</v>
      </c>
      <c r="L711" s="70">
        <f t="shared" si="22"/>
        <v>1362</v>
      </c>
      <c r="M711" s="70">
        <v>67.599999999999</v>
      </c>
    </row>
    <row r="712" spans="5:13" x14ac:dyDescent="0.3">
      <c r="E712" s="70">
        <v>682</v>
      </c>
      <c r="F712" s="70">
        <f t="shared" si="21"/>
        <v>3410</v>
      </c>
      <c r="G712" s="70">
        <v>68.000000000000497</v>
      </c>
      <c r="K712" s="70">
        <v>682</v>
      </c>
      <c r="L712" s="70">
        <f t="shared" si="22"/>
        <v>1364</v>
      </c>
      <c r="M712" s="70">
        <v>67.699999999998994</v>
      </c>
    </row>
    <row r="713" spans="5:13" x14ac:dyDescent="0.3">
      <c r="E713" s="70">
        <v>683</v>
      </c>
      <c r="F713" s="70">
        <f t="shared" si="21"/>
        <v>3415</v>
      </c>
      <c r="G713" s="70">
        <v>68.100000000000506</v>
      </c>
      <c r="K713" s="70">
        <v>683</v>
      </c>
      <c r="L713" s="70">
        <f t="shared" si="22"/>
        <v>1366</v>
      </c>
      <c r="M713" s="70">
        <v>67.799999999999002</v>
      </c>
    </row>
    <row r="714" spans="5:13" x14ac:dyDescent="0.3">
      <c r="E714" s="70">
        <v>684</v>
      </c>
      <c r="F714" s="70">
        <f t="shared" si="21"/>
        <v>3420</v>
      </c>
      <c r="G714" s="70">
        <v>68.2000000000005</v>
      </c>
      <c r="K714" s="70">
        <v>684</v>
      </c>
      <c r="L714" s="70">
        <f t="shared" si="22"/>
        <v>1368</v>
      </c>
      <c r="M714" s="70">
        <v>67.899999999998997</v>
      </c>
    </row>
    <row r="715" spans="5:13" x14ac:dyDescent="0.3">
      <c r="E715" s="70">
        <v>685</v>
      </c>
      <c r="F715" s="70">
        <f t="shared" si="21"/>
        <v>3425</v>
      </c>
      <c r="G715" s="70">
        <v>68.300000000000495</v>
      </c>
      <c r="K715" s="70">
        <v>685</v>
      </c>
      <c r="L715" s="70">
        <f t="shared" si="22"/>
        <v>1370</v>
      </c>
      <c r="M715" s="70">
        <v>67.999999999999005</v>
      </c>
    </row>
    <row r="716" spans="5:13" x14ac:dyDescent="0.3">
      <c r="E716" s="70">
        <v>686</v>
      </c>
      <c r="F716" s="70">
        <f t="shared" si="21"/>
        <v>3430</v>
      </c>
      <c r="G716" s="70">
        <v>68.400000000000503</v>
      </c>
      <c r="K716" s="70">
        <v>686</v>
      </c>
      <c r="L716" s="70">
        <f t="shared" si="22"/>
        <v>1372</v>
      </c>
      <c r="M716" s="70">
        <v>68.099999999999</v>
      </c>
    </row>
    <row r="717" spans="5:13" x14ac:dyDescent="0.3">
      <c r="E717" s="70">
        <v>687</v>
      </c>
      <c r="F717" s="70">
        <f t="shared" si="21"/>
        <v>3435</v>
      </c>
      <c r="G717" s="70">
        <v>68.500000000000497</v>
      </c>
      <c r="K717" s="70">
        <v>687</v>
      </c>
      <c r="L717" s="70">
        <f t="shared" si="22"/>
        <v>1374</v>
      </c>
      <c r="M717" s="70">
        <v>68.199999999998994</v>
      </c>
    </row>
    <row r="718" spans="5:13" x14ac:dyDescent="0.3">
      <c r="E718" s="70">
        <v>688</v>
      </c>
      <c r="F718" s="70">
        <f t="shared" si="21"/>
        <v>3440</v>
      </c>
      <c r="G718" s="70">
        <v>68.600000000000506</v>
      </c>
      <c r="K718" s="70">
        <v>688</v>
      </c>
      <c r="L718" s="70">
        <f t="shared" si="22"/>
        <v>1376</v>
      </c>
      <c r="M718" s="70">
        <v>68.299999999999002</v>
      </c>
    </row>
    <row r="719" spans="5:13" x14ac:dyDescent="0.3">
      <c r="E719" s="70">
        <v>689</v>
      </c>
      <c r="F719" s="70">
        <f t="shared" si="21"/>
        <v>3445</v>
      </c>
      <c r="G719" s="70">
        <v>68.7000000000005</v>
      </c>
      <c r="K719" s="70">
        <v>689</v>
      </c>
      <c r="L719" s="70">
        <f t="shared" si="22"/>
        <v>1378</v>
      </c>
      <c r="M719" s="70">
        <v>68.399999999998997</v>
      </c>
    </row>
    <row r="720" spans="5:13" x14ac:dyDescent="0.3">
      <c r="E720" s="70">
        <v>690</v>
      </c>
      <c r="F720" s="70">
        <f t="shared" si="21"/>
        <v>3450</v>
      </c>
      <c r="G720" s="70">
        <v>68.800000000000495</v>
      </c>
      <c r="K720" s="70">
        <v>690</v>
      </c>
      <c r="L720" s="70">
        <f t="shared" si="22"/>
        <v>1380</v>
      </c>
      <c r="M720" s="70">
        <v>68.499999999999005</v>
      </c>
    </row>
    <row r="721" spans="5:13" x14ac:dyDescent="0.3">
      <c r="E721" s="70">
        <v>691</v>
      </c>
      <c r="F721" s="70">
        <f t="shared" si="21"/>
        <v>3455</v>
      </c>
      <c r="G721" s="70">
        <v>68.900000000000503</v>
      </c>
      <c r="K721" s="70">
        <v>691</v>
      </c>
      <c r="L721" s="70">
        <f t="shared" si="22"/>
        <v>1382</v>
      </c>
      <c r="M721" s="70">
        <v>68.599999999999</v>
      </c>
    </row>
    <row r="722" spans="5:13" x14ac:dyDescent="0.3">
      <c r="E722" s="70">
        <v>692</v>
      </c>
      <c r="F722" s="70">
        <f t="shared" si="21"/>
        <v>3460</v>
      </c>
      <c r="G722" s="70">
        <v>69.000000000000497</v>
      </c>
      <c r="K722" s="70">
        <v>692</v>
      </c>
      <c r="L722" s="70">
        <f t="shared" si="22"/>
        <v>1384</v>
      </c>
      <c r="M722" s="70">
        <v>68.699999999998994</v>
      </c>
    </row>
    <row r="723" spans="5:13" x14ac:dyDescent="0.3">
      <c r="E723" s="70">
        <v>693</v>
      </c>
      <c r="F723" s="70">
        <f t="shared" si="21"/>
        <v>3465</v>
      </c>
      <c r="G723" s="70">
        <v>69.100000000000506</v>
      </c>
      <c r="K723" s="70">
        <v>693</v>
      </c>
      <c r="L723" s="70">
        <f t="shared" si="22"/>
        <v>1386</v>
      </c>
      <c r="M723" s="70">
        <v>68.799999999999002</v>
      </c>
    </row>
    <row r="724" spans="5:13" x14ac:dyDescent="0.3">
      <c r="E724" s="70">
        <v>694</v>
      </c>
      <c r="F724" s="70">
        <f t="shared" si="21"/>
        <v>3470</v>
      </c>
      <c r="G724" s="70">
        <v>69.2000000000005</v>
      </c>
      <c r="K724" s="70">
        <v>694</v>
      </c>
      <c r="L724" s="70">
        <f t="shared" si="22"/>
        <v>1388</v>
      </c>
      <c r="M724" s="70">
        <v>68.899999999998997</v>
      </c>
    </row>
    <row r="725" spans="5:13" x14ac:dyDescent="0.3">
      <c r="E725" s="70">
        <v>695</v>
      </c>
      <c r="F725" s="70">
        <f t="shared" si="21"/>
        <v>3475</v>
      </c>
      <c r="G725" s="70">
        <v>69.300000000000495</v>
      </c>
      <c r="K725" s="70">
        <v>695</v>
      </c>
      <c r="L725" s="70">
        <f t="shared" si="22"/>
        <v>1390</v>
      </c>
      <c r="M725" s="70">
        <v>68.999999999999005</v>
      </c>
    </row>
    <row r="726" spans="5:13" x14ac:dyDescent="0.3">
      <c r="E726" s="70">
        <v>696</v>
      </c>
      <c r="F726" s="70">
        <f t="shared" si="21"/>
        <v>3480</v>
      </c>
      <c r="G726" s="70">
        <v>69.400000000000503</v>
      </c>
      <c r="K726" s="70">
        <v>696</v>
      </c>
      <c r="L726" s="70">
        <f t="shared" si="22"/>
        <v>1392</v>
      </c>
      <c r="M726" s="70">
        <v>69.099999999999</v>
      </c>
    </row>
    <row r="727" spans="5:13" x14ac:dyDescent="0.3">
      <c r="E727" s="70">
        <v>697</v>
      </c>
      <c r="F727" s="70">
        <f t="shared" si="21"/>
        <v>3485</v>
      </c>
      <c r="G727" s="70">
        <v>69.500000000000497</v>
      </c>
      <c r="K727" s="70">
        <v>697</v>
      </c>
      <c r="L727" s="70">
        <f t="shared" si="22"/>
        <v>1394</v>
      </c>
      <c r="M727" s="70">
        <v>69.199999999998994</v>
      </c>
    </row>
    <row r="728" spans="5:13" x14ac:dyDescent="0.3">
      <c r="E728" s="70">
        <v>698</v>
      </c>
      <c r="F728" s="70">
        <f t="shared" si="21"/>
        <v>3490</v>
      </c>
      <c r="G728" s="70">
        <v>69.600000000000506</v>
      </c>
      <c r="K728" s="70">
        <v>698</v>
      </c>
      <c r="L728" s="70">
        <f t="shared" si="22"/>
        <v>1396</v>
      </c>
      <c r="M728" s="70">
        <v>69.299999999999002</v>
      </c>
    </row>
    <row r="729" spans="5:13" x14ac:dyDescent="0.3">
      <c r="E729" s="70">
        <v>699</v>
      </c>
      <c r="F729" s="70">
        <f t="shared" si="21"/>
        <v>3495</v>
      </c>
      <c r="G729" s="70">
        <v>69.7000000000005</v>
      </c>
      <c r="K729" s="70">
        <v>699</v>
      </c>
      <c r="L729" s="70">
        <f t="shared" si="22"/>
        <v>1398</v>
      </c>
      <c r="M729" s="70">
        <v>69.399999999998997</v>
      </c>
    </row>
    <row r="730" spans="5:13" x14ac:dyDescent="0.3">
      <c r="E730" s="70">
        <v>700</v>
      </c>
      <c r="F730" s="70">
        <f t="shared" si="21"/>
        <v>3500</v>
      </c>
      <c r="G730" s="70">
        <v>69.800000000000495</v>
      </c>
      <c r="K730" s="70">
        <v>700</v>
      </c>
      <c r="L730" s="70">
        <f t="shared" si="22"/>
        <v>1400</v>
      </c>
      <c r="M730" s="70">
        <v>69.499999999999005</v>
      </c>
    </row>
    <row r="731" spans="5:13" x14ac:dyDescent="0.3">
      <c r="E731" s="70">
        <v>701</v>
      </c>
      <c r="F731" s="70">
        <f t="shared" si="21"/>
        <v>3505</v>
      </c>
      <c r="G731" s="70">
        <v>69.900000000000503</v>
      </c>
      <c r="K731" s="70">
        <v>701</v>
      </c>
      <c r="L731" s="70">
        <f t="shared" si="22"/>
        <v>1402</v>
      </c>
      <c r="M731" s="70">
        <v>69.599999999999</v>
      </c>
    </row>
    <row r="732" spans="5:13" x14ac:dyDescent="0.3">
      <c r="E732" s="70">
        <v>702</v>
      </c>
      <c r="F732" s="70">
        <f t="shared" si="21"/>
        <v>3510</v>
      </c>
      <c r="G732" s="70">
        <v>70.000000000000497</v>
      </c>
      <c r="K732" s="70">
        <v>702</v>
      </c>
      <c r="L732" s="70">
        <f t="shared" si="22"/>
        <v>1404</v>
      </c>
      <c r="M732" s="70">
        <v>69.699999999998994</v>
      </c>
    </row>
    <row r="733" spans="5:13" x14ac:dyDescent="0.3">
      <c r="E733" s="70">
        <v>703</v>
      </c>
      <c r="F733" s="70">
        <f t="shared" si="21"/>
        <v>3515</v>
      </c>
      <c r="G733" s="70">
        <v>70.100000000000506</v>
      </c>
      <c r="K733" s="70">
        <v>703</v>
      </c>
      <c r="L733" s="70">
        <f t="shared" si="22"/>
        <v>1406</v>
      </c>
      <c r="M733" s="70">
        <v>69.799999999999002</v>
      </c>
    </row>
    <row r="734" spans="5:13" x14ac:dyDescent="0.3">
      <c r="E734" s="70">
        <v>704</v>
      </c>
      <c r="F734" s="70">
        <f t="shared" si="21"/>
        <v>3520</v>
      </c>
      <c r="G734" s="70">
        <v>70.2000000000005</v>
      </c>
      <c r="K734" s="70">
        <v>704</v>
      </c>
      <c r="L734" s="70">
        <f t="shared" si="22"/>
        <v>1408</v>
      </c>
      <c r="M734" s="70">
        <v>69.899999999998997</v>
      </c>
    </row>
    <row r="735" spans="5:13" x14ac:dyDescent="0.3">
      <c r="E735" s="70">
        <v>705</v>
      </c>
      <c r="F735" s="70">
        <f t="shared" si="21"/>
        <v>3525</v>
      </c>
      <c r="G735" s="70">
        <v>70.300000000000495</v>
      </c>
      <c r="K735" s="70">
        <v>705</v>
      </c>
      <c r="L735" s="70">
        <f t="shared" si="22"/>
        <v>1410</v>
      </c>
      <c r="M735" s="70">
        <v>69.999999999999005</v>
      </c>
    </row>
    <row r="736" spans="5:13" x14ac:dyDescent="0.3">
      <c r="E736" s="70">
        <v>706</v>
      </c>
      <c r="F736" s="70">
        <f t="shared" si="21"/>
        <v>3530</v>
      </c>
      <c r="G736" s="70">
        <v>70.400000000000503</v>
      </c>
      <c r="K736" s="70">
        <v>706</v>
      </c>
      <c r="L736" s="70">
        <f t="shared" si="22"/>
        <v>1412</v>
      </c>
      <c r="M736" s="70">
        <v>70.099999999999</v>
      </c>
    </row>
    <row r="737" spans="5:13" x14ac:dyDescent="0.3">
      <c r="E737" s="70">
        <v>707</v>
      </c>
      <c r="F737" s="70">
        <f t="shared" ref="F737:F800" si="23">+F736+$F$27</f>
        <v>3535</v>
      </c>
      <c r="G737" s="70">
        <v>70.500000000000497</v>
      </c>
      <c r="K737" s="70">
        <v>707</v>
      </c>
      <c r="L737" s="70">
        <f t="shared" ref="L737:L800" si="24">+L736+$L$27</f>
        <v>1414</v>
      </c>
      <c r="M737" s="70">
        <v>70.199999999998994</v>
      </c>
    </row>
    <row r="738" spans="5:13" x14ac:dyDescent="0.3">
      <c r="E738" s="70">
        <v>708</v>
      </c>
      <c r="F738" s="70">
        <f t="shared" si="23"/>
        <v>3540</v>
      </c>
      <c r="G738" s="70">
        <v>70.600000000000506</v>
      </c>
      <c r="K738" s="70">
        <v>708</v>
      </c>
      <c r="L738" s="70">
        <f t="shared" si="24"/>
        <v>1416</v>
      </c>
      <c r="M738" s="70">
        <v>70.299999999999002</v>
      </c>
    </row>
    <row r="739" spans="5:13" x14ac:dyDescent="0.3">
      <c r="E739" s="70">
        <v>709</v>
      </c>
      <c r="F739" s="70">
        <f t="shared" si="23"/>
        <v>3545</v>
      </c>
      <c r="G739" s="70">
        <v>70.7000000000005</v>
      </c>
      <c r="K739" s="70">
        <v>709</v>
      </c>
      <c r="L739" s="70">
        <f t="shared" si="24"/>
        <v>1418</v>
      </c>
      <c r="M739" s="70">
        <v>70.399999999998997</v>
      </c>
    </row>
    <row r="740" spans="5:13" x14ac:dyDescent="0.3">
      <c r="E740" s="70">
        <v>710</v>
      </c>
      <c r="F740" s="70">
        <f t="shared" si="23"/>
        <v>3550</v>
      </c>
      <c r="G740" s="70">
        <v>70.800000000000495</v>
      </c>
      <c r="K740" s="70">
        <v>710</v>
      </c>
      <c r="L740" s="70">
        <f t="shared" si="24"/>
        <v>1420</v>
      </c>
      <c r="M740" s="70">
        <v>70.499999999999005</v>
      </c>
    </row>
    <row r="741" spans="5:13" x14ac:dyDescent="0.3">
      <c r="E741" s="70">
        <v>711</v>
      </c>
      <c r="F741" s="70">
        <f t="shared" si="23"/>
        <v>3555</v>
      </c>
      <c r="G741" s="70">
        <v>70.900000000000503</v>
      </c>
      <c r="K741" s="70">
        <v>711</v>
      </c>
      <c r="L741" s="70">
        <f t="shared" si="24"/>
        <v>1422</v>
      </c>
      <c r="M741" s="70">
        <v>70.599999999999</v>
      </c>
    </row>
    <row r="742" spans="5:13" x14ac:dyDescent="0.3">
      <c r="E742" s="70">
        <v>712</v>
      </c>
      <c r="F742" s="70">
        <f t="shared" si="23"/>
        <v>3560</v>
      </c>
      <c r="G742" s="70">
        <v>71.000000000000497</v>
      </c>
      <c r="K742" s="70">
        <v>712</v>
      </c>
      <c r="L742" s="70">
        <f t="shared" si="24"/>
        <v>1424</v>
      </c>
      <c r="M742" s="70">
        <v>70.699999999998994</v>
      </c>
    </row>
    <row r="743" spans="5:13" x14ac:dyDescent="0.3">
      <c r="E743" s="70">
        <v>713</v>
      </c>
      <c r="F743" s="70">
        <f t="shared" si="23"/>
        <v>3565</v>
      </c>
      <c r="G743" s="70">
        <v>71.100000000000506</v>
      </c>
      <c r="K743" s="70">
        <v>713</v>
      </c>
      <c r="L743" s="70">
        <f t="shared" si="24"/>
        <v>1426</v>
      </c>
      <c r="M743" s="70">
        <v>70.799999999999002</v>
      </c>
    </row>
    <row r="744" spans="5:13" x14ac:dyDescent="0.3">
      <c r="E744" s="70">
        <v>714</v>
      </c>
      <c r="F744" s="70">
        <f t="shared" si="23"/>
        <v>3570</v>
      </c>
      <c r="G744" s="70">
        <v>71.2000000000005</v>
      </c>
      <c r="K744" s="70">
        <v>714</v>
      </c>
      <c r="L744" s="70">
        <f t="shared" si="24"/>
        <v>1428</v>
      </c>
      <c r="M744" s="70">
        <v>70.899999999998997</v>
      </c>
    </row>
    <row r="745" spans="5:13" x14ac:dyDescent="0.3">
      <c r="E745" s="70">
        <v>715</v>
      </c>
      <c r="F745" s="70">
        <f t="shared" si="23"/>
        <v>3575</v>
      </c>
      <c r="G745" s="70">
        <v>71.300000000000495</v>
      </c>
      <c r="K745" s="70">
        <v>715</v>
      </c>
      <c r="L745" s="70">
        <f t="shared" si="24"/>
        <v>1430</v>
      </c>
      <c r="M745" s="70">
        <v>70.999999999999005</v>
      </c>
    </row>
    <row r="746" spans="5:13" x14ac:dyDescent="0.3">
      <c r="E746" s="70">
        <v>716</v>
      </c>
      <c r="F746" s="70">
        <f t="shared" si="23"/>
        <v>3580</v>
      </c>
      <c r="G746" s="70">
        <v>71.400000000000503</v>
      </c>
      <c r="K746" s="70">
        <v>716</v>
      </c>
      <c r="L746" s="70">
        <f t="shared" si="24"/>
        <v>1432</v>
      </c>
      <c r="M746" s="70">
        <v>71.099999999999</v>
      </c>
    </row>
    <row r="747" spans="5:13" x14ac:dyDescent="0.3">
      <c r="E747" s="70">
        <v>717</v>
      </c>
      <c r="F747" s="70">
        <f t="shared" si="23"/>
        <v>3585</v>
      </c>
      <c r="G747" s="70">
        <v>71.500000000000497</v>
      </c>
      <c r="K747" s="70">
        <v>717</v>
      </c>
      <c r="L747" s="70">
        <f t="shared" si="24"/>
        <v>1434</v>
      </c>
      <c r="M747" s="70">
        <v>71.199999999998994</v>
      </c>
    </row>
    <row r="748" spans="5:13" x14ac:dyDescent="0.3">
      <c r="E748" s="70">
        <v>718</v>
      </c>
      <c r="F748" s="70">
        <f t="shared" si="23"/>
        <v>3590</v>
      </c>
      <c r="G748" s="70">
        <v>71.600000000000506</v>
      </c>
      <c r="K748" s="70">
        <v>718</v>
      </c>
      <c r="L748" s="70">
        <f t="shared" si="24"/>
        <v>1436</v>
      </c>
      <c r="M748" s="70">
        <v>71.299999999999002</v>
      </c>
    </row>
    <row r="749" spans="5:13" x14ac:dyDescent="0.3">
      <c r="E749" s="70">
        <v>719</v>
      </c>
      <c r="F749" s="70">
        <f t="shared" si="23"/>
        <v>3595</v>
      </c>
      <c r="G749" s="70">
        <v>71.7000000000005</v>
      </c>
      <c r="K749" s="70">
        <v>719</v>
      </c>
      <c r="L749" s="70">
        <f t="shared" si="24"/>
        <v>1438</v>
      </c>
      <c r="M749" s="70">
        <v>71.399999999998997</v>
      </c>
    </row>
    <row r="750" spans="5:13" x14ac:dyDescent="0.3">
      <c r="E750" s="70">
        <v>720</v>
      </c>
      <c r="F750" s="70">
        <f t="shared" si="23"/>
        <v>3600</v>
      </c>
      <c r="G750" s="70">
        <v>71.800000000000495</v>
      </c>
      <c r="K750" s="70">
        <v>720</v>
      </c>
      <c r="L750" s="70">
        <f t="shared" si="24"/>
        <v>1440</v>
      </c>
      <c r="M750" s="70">
        <v>71.499999999999005</v>
      </c>
    </row>
    <row r="751" spans="5:13" x14ac:dyDescent="0.3">
      <c r="E751" s="70">
        <v>721</v>
      </c>
      <c r="F751" s="70">
        <f t="shared" si="23"/>
        <v>3605</v>
      </c>
      <c r="G751" s="70">
        <v>71.900000000000503</v>
      </c>
      <c r="K751" s="70">
        <v>721</v>
      </c>
      <c r="L751" s="70">
        <f t="shared" si="24"/>
        <v>1442</v>
      </c>
      <c r="M751" s="70">
        <v>71.599999999999</v>
      </c>
    </row>
    <row r="752" spans="5:13" x14ac:dyDescent="0.3">
      <c r="E752" s="70">
        <v>722</v>
      </c>
      <c r="F752" s="70">
        <f t="shared" si="23"/>
        <v>3610</v>
      </c>
      <c r="G752" s="70">
        <v>72.000000000000497</v>
      </c>
      <c r="K752" s="70">
        <v>722</v>
      </c>
      <c r="L752" s="70">
        <f t="shared" si="24"/>
        <v>1444</v>
      </c>
      <c r="M752" s="70">
        <v>71.699999999998994</v>
      </c>
    </row>
    <row r="753" spans="5:13" x14ac:dyDescent="0.3">
      <c r="E753" s="70">
        <v>723</v>
      </c>
      <c r="F753" s="70">
        <f t="shared" si="23"/>
        <v>3615</v>
      </c>
      <c r="G753" s="70">
        <v>72.100000000000506</v>
      </c>
      <c r="K753" s="70">
        <v>723</v>
      </c>
      <c r="L753" s="70">
        <f t="shared" si="24"/>
        <v>1446</v>
      </c>
      <c r="M753" s="70">
        <v>71.799999999998903</v>
      </c>
    </row>
    <row r="754" spans="5:13" x14ac:dyDescent="0.3">
      <c r="E754" s="70">
        <v>724</v>
      </c>
      <c r="F754" s="70">
        <f t="shared" si="23"/>
        <v>3620</v>
      </c>
      <c r="G754" s="70">
        <v>72.2000000000005</v>
      </c>
      <c r="K754" s="70">
        <v>724</v>
      </c>
      <c r="L754" s="70">
        <f t="shared" si="24"/>
        <v>1448</v>
      </c>
      <c r="M754" s="70">
        <v>71.899999999998897</v>
      </c>
    </row>
    <row r="755" spans="5:13" x14ac:dyDescent="0.3">
      <c r="E755" s="70">
        <v>725</v>
      </c>
      <c r="F755" s="70">
        <f t="shared" si="23"/>
        <v>3625</v>
      </c>
      <c r="G755" s="70">
        <v>72.300000000000495</v>
      </c>
      <c r="K755" s="70">
        <v>725</v>
      </c>
      <c r="L755" s="70">
        <f t="shared" si="24"/>
        <v>1450</v>
      </c>
      <c r="M755" s="70">
        <v>71.999999999999005</v>
      </c>
    </row>
    <row r="756" spans="5:13" x14ac:dyDescent="0.3">
      <c r="E756" s="70">
        <v>726</v>
      </c>
      <c r="F756" s="70">
        <f t="shared" si="23"/>
        <v>3630</v>
      </c>
      <c r="G756" s="70">
        <v>72.400000000000503</v>
      </c>
      <c r="K756" s="70">
        <v>726</v>
      </c>
      <c r="L756" s="70">
        <f t="shared" si="24"/>
        <v>1452</v>
      </c>
      <c r="M756" s="70">
        <v>72.0999999999989</v>
      </c>
    </row>
    <row r="757" spans="5:13" x14ac:dyDescent="0.3">
      <c r="E757" s="70">
        <v>727</v>
      </c>
      <c r="F757" s="70">
        <f t="shared" si="23"/>
        <v>3635</v>
      </c>
      <c r="G757" s="70">
        <v>72.500000000000497</v>
      </c>
      <c r="K757" s="70">
        <v>727</v>
      </c>
      <c r="L757" s="70">
        <f t="shared" si="24"/>
        <v>1454</v>
      </c>
      <c r="M757" s="70">
        <v>72.199999999998894</v>
      </c>
    </row>
    <row r="758" spans="5:13" x14ac:dyDescent="0.3">
      <c r="E758" s="70">
        <v>728</v>
      </c>
      <c r="F758" s="70">
        <f t="shared" si="23"/>
        <v>3640</v>
      </c>
      <c r="G758" s="70">
        <v>72.600000000000506</v>
      </c>
      <c r="K758" s="70">
        <v>728</v>
      </c>
      <c r="L758" s="70">
        <f t="shared" si="24"/>
        <v>1456</v>
      </c>
      <c r="M758" s="70">
        <v>72.299999999998903</v>
      </c>
    </row>
    <row r="759" spans="5:13" x14ac:dyDescent="0.3">
      <c r="E759" s="70">
        <v>729</v>
      </c>
      <c r="F759" s="70">
        <f t="shared" si="23"/>
        <v>3645</v>
      </c>
      <c r="G759" s="70">
        <v>72.7000000000005</v>
      </c>
      <c r="K759" s="70">
        <v>729</v>
      </c>
      <c r="L759" s="70">
        <f t="shared" si="24"/>
        <v>1458</v>
      </c>
      <c r="M759" s="70">
        <v>72.399999999998897</v>
      </c>
    </row>
    <row r="760" spans="5:13" x14ac:dyDescent="0.3">
      <c r="E760" s="70">
        <v>730</v>
      </c>
      <c r="F760" s="70">
        <f t="shared" si="23"/>
        <v>3650</v>
      </c>
      <c r="G760" s="70">
        <v>72.800000000000495</v>
      </c>
      <c r="K760" s="70">
        <v>730</v>
      </c>
      <c r="L760" s="70">
        <f t="shared" si="24"/>
        <v>1460</v>
      </c>
      <c r="M760" s="70">
        <v>72.499999999998906</v>
      </c>
    </row>
    <row r="761" spans="5:13" x14ac:dyDescent="0.3">
      <c r="E761" s="70">
        <v>731</v>
      </c>
      <c r="F761" s="70">
        <f t="shared" si="23"/>
        <v>3655</v>
      </c>
      <c r="G761" s="70">
        <v>72.900000000000503</v>
      </c>
      <c r="K761" s="70">
        <v>731</v>
      </c>
      <c r="L761" s="70">
        <f t="shared" si="24"/>
        <v>1462</v>
      </c>
      <c r="M761" s="70">
        <v>72.5999999999989</v>
      </c>
    </row>
    <row r="762" spans="5:13" x14ac:dyDescent="0.3">
      <c r="E762" s="70">
        <v>732</v>
      </c>
      <c r="F762" s="70">
        <f t="shared" si="23"/>
        <v>3660</v>
      </c>
      <c r="G762" s="70">
        <v>73.000000000000497</v>
      </c>
      <c r="K762" s="70">
        <v>732</v>
      </c>
      <c r="L762" s="70">
        <f t="shared" si="24"/>
        <v>1464</v>
      </c>
      <c r="M762" s="70">
        <v>72.699999999998894</v>
      </c>
    </row>
    <row r="763" spans="5:13" x14ac:dyDescent="0.3">
      <c r="E763" s="70">
        <v>733</v>
      </c>
      <c r="F763" s="70">
        <f t="shared" si="23"/>
        <v>3665</v>
      </c>
      <c r="G763" s="70">
        <v>73.100000000000506</v>
      </c>
      <c r="K763" s="70">
        <v>733</v>
      </c>
      <c r="L763" s="70">
        <f t="shared" si="24"/>
        <v>1466</v>
      </c>
      <c r="M763" s="70">
        <v>72.799999999998903</v>
      </c>
    </row>
    <row r="764" spans="5:13" x14ac:dyDescent="0.3">
      <c r="E764" s="70">
        <v>734</v>
      </c>
      <c r="F764" s="70">
        <f t="shared" si="23"/>
        <v>3670</v>
      </c>
      <c r="G764" s="70">
        <v>73.2000000000005</v>
      </c>
      <c r="K764" s="70">
        <v>734</v>
      </c>
      <c r="L764" s="70">
        <f t="shared" si="24"/>
        <v>1468</v>
      </c>
      <c r="M764" s="70">
        <v>72.899999999998897</v>
      </c>
    </row>
    <row r="765" spans="5:13" x14ac:dyDescent="0.3">
      <c r="E765" s="70">
        <v>735</v>
      </c>
      <c r="F765" s="70">
        <f t="shared" si="23"/>
        <v>3675</v>
      </c>
      <c r="G765" s="70">
        <v>73.300000000000495</v>
      </c>
      <c r="K765" s="70">
        <v>735</v>
      </c>
      <c r="L765" s="70">
        <f t="shared" si="24"/>
        <v>1470</v>
      </c>
      <c r="M765" s="70">
        <v>72.999999999998906</v>
      </c>
    </row>
    <row r="766" spans="5:13" x14ac:dyDescent="0.3">
      <c r="E766" s="70">
        <v>736</v>
      </c>
      <c r="F766" s="70">
        <f t="shared" si="23"/>
        <v>3680</v>
      </c>
      <c r="G766" s="70">
        <v>73.400000000000503</v>
      </c>
      <c r="K766" s="70">
        <v>736</v>
      </c>
      <c r="L766" s="70">
        <f t="shared" si="24"/>
        <v>1472</v>
      </c>
      <c r="M766" s="70">
        <v>73.0999999999989</v>
      </c>
    </row>
    <row r="767" spans="5:13" x14ac:dyDescent="0.3">
      <c r="E767" s="70">
        <v>737</v>
      </c>
      <c r="F767" s="70">
        <f t="shared" si="23"/>
        <v>3685</v>
      </c>
      <c r="G767" s="70">
        <v>73.500000000000597</v>
      </c>
      <c r="K767" s="70">
        <v>737</v>
      </c>
      <c r="L767" s="70">
        <f t="shared" si="24"/>
        <v>1474</v>
      </c>
      <c r="M767" s="70">
        <v>73.199999999998894</v>
      </c>
    </row>
    <row r="768" spans="5:13" x14ac:dyDescent="0.3">
      <c r="E768" s="70">
        <v>738</v>
      </c>
      <c r="F768" s="70">
        <f t="shared" si="23"/>
        <v>3690</v>
      </c>
      <c r="G768" s="70">
        <v>73.600000000000605</v>
      </c>
      <c r="K768" s="70">
        <v>738</v>
      </c>
      <c r="L768" s="70">
        <f t="shared" si="24"/>
        <v>1476</v>
      </c>
      <c r="M768" s="70">
        <v>73.299999999998903</v>
      </c>
    </row>
    <row r="769" spans="5:13" x14ac:dyDescent="0.3">
      <c r="E769" s="70">
        <v>739</v>
      </c>
      <c r="F769" s="70">
        <f t="shared" si="23"/>
        <v>3695</v>
      </c>
      <c r="G769" s="70">
        <v>73.7000000000006</v>
      </c>
      <c r="K769" s="70">
        <v>739</v>
      </c>
      <c r="L769" s="70">
        <f t="shared" si="24"/>
        <v>1478</v>
      </c>
      <c r="M769" s="70">
        <v>73.399999999998897</v>
      </c>
    </row>
    <row r="770" spans="5:13" x14ac:dyDescent="0.3">
      <c r="E770" s="70">
        <v>740</v>
      </c>
      <c r="F770" s="70">
        <f t="shared" si="23"/>
        <v>3700</v>
      </c>
      <c r="G770" s="70">
        <v>73.800000000000594</v>
      </c>
      <c r="K770" s="70">
        <v>740</v>
      </c>
      <c r="L770" s="70">
        <f t="shared" si="24"/>
        <v>1480</v>
      </c>
      <c r="M770" s="70">
        <v>73.499999999998906</v>
      </c>
    </row>
    <row r="771" spans="5:13" x14ac:dyDescent="0.3">
      <c r="E771" s="70">
        <v>741</v>
      </c>
      <c r="F771" s="70">
        <f t="shared" si="23"/>
        <v>3705</v>
      </c>
      <c r="G771" s="70">
        <v>73.900000000000603</v>
      </c>
      <c r="K771" s="70">
        <v>741</v>
      </c>
      <c r="L771" s="70">
        <f t="shared" si="24"/>
        <v>1482</v>
      </c>
      <c r="M771" s="70">
        <v>73.5999999999989</v>
      </c>
    </row>
    <row r="772" spans="5:13" x14ac:dyDescent="0.3">
      <c r="E772" s="70">
        <v>742</v>
      </c>
      <c r="F772" s="70">
        <f t="shared" si="23"/>
        <v>3710</v>
      </c>
      <c r="G772" s="70">
        <v>74.000000000000597</v>
      </c>
      <c r="K772" s="70">
        <v>742</v>
      </c>
      <c r="L772" s="70">
        <f t="shared" si="24"/>
        <v>1484</v>
      </c>
      <c r="M772" s="70">
        <v>73.699999999998894</v>
      </c>
    </row>
    <row r="773" spans="5:13" x14ac:dyDescent="0.3">
      <c r="E773" s="70">
        <v>743</v>
      </c>
      <c r="F773" s="70">
        <f t="shared" si="23"/>
        <v>3715</v>
      </c>
      <c r="G773" s="70">
        <v>74.100000000000605</v>
      </c>
      <c r="K773" s="70">
        <v>743</v>
      </c>
      <c r="L773" s="70">
        <f t="shared" si="24"/>
        <v>1486</v>
      </c>
      <c r="M773" s="70">
        <v>73.799999999998903</v>
      </c>
    </row>
    <row r="774" spans="5:13" x14ac:dyDescent="0.3">
      <c r="E774" s="70">
        <v>744</v>
      </c>
      <c r="F774" s="70">
        <f t="shared" si="23"/>
        <v>3720</v>
      </c>
      <c r="G774" s="70">
        <v>74.2000000000006</v>
      </c>
      <c r="K774" s="70">
        <v>744</v>
      </c>
      <c r="L774" s="70">
        <f t="shared" si="24"/>
        <v>1488</v>
      </c>
      <c r="M774" s="70">
        <v>73.899999999998897</v>
      </c>
    </row>
    <row r="775" spans="5:13" x14ac:dyDescent="0.3">
      <c r="E775" s="70">
        <v>745</v>
      </c>
      <c r="F775" s="70">
        <f t="shared" si="23"/>
        <v>3725</v>
      </c>
      <c r="G775" s="70">
        <v>74.300000000000594</v>
      </c>
      <c r="K775" s="70">
        <v>745</v>
      </c>
      <c r="L775" s="70">
        <f t="shared" si="24"/>
        <v>1490</v>
      </c>
      <c r="M775" s="70">
        <v>73.999999999998906</v>
      </c>
    </row>
    <row r="776" spans="5:13" x14ac:dyDescent="0.3">
      <c r="E776" s="70">
        <v>746</v>
      </c>
      <c r="F776" s="70">
        <f t="shared" si="23"/>
        <v>3730</v>
      </c>
      <c r="G776" s="70">
        <v>74.400000000000603</v>
      </c>
      <c r="K776" s="70">
        <v>746</v>
      </c>
      <c r="L776" s="70">
        <f t="shared" si="24"/>
        <v>1492</v>
      </c>
      <c r="M776" s="70">
        <v>74.0999999999989</v>
      </c>
    </row>
    <row r="777" spans="5:13" x14ac:dyDescent="0.3">
      <c r="E777" s="70">
        <v>747</v>
      </c>
      <c r="F777" s="70">
        <f t="shared" si="23"/>
        <v>3735</v>
      </c>
      <c r="G777" s="70">
        <v>74.500000000000597</v>
      </c>
      <c r="K777" s="70">
        <v>747</v>
      </c>
      <c r="L777" s="70">
        <f t="shared" si="24"/>
        <v>1494</v>
      </c>
      <c r="M777" s="70">
        <v>74.199999999998894</v>
      </c>
    </row>
    <row r="778" spans="5:13" x14ac:dyDescent="0.3">
      <c r="E778" s="70">
        <v>748</v>
      </c>
      <c r="F778" s="70">
        <f t="shared" si="23"/>
        <v>3740</v>
      </c>
      <c r="G778" s="70">
        <v>74.600000000000605</v>
      </c>
      <c r="K778" s="70">
        <v>748</v>
      </c>
      <c r="L778" s="70">
        <f t="shared" si="24"/>
        <v>1496</v>
      </c>
      <c r="M778" s="70">
        <v>74.299999999998903</v>
      </c>
    </row>
    <row r="779" spans="5:13" x14ac:dyDescent="0.3">
      <c r="E779" s="70">
        <v>749</v>
      </c>
      <c r="F779" s="70">
        <f t="shared" si="23"/>
        <v>3745</v>
      </c>
      <c r="G779" s="70">
        <v>74.7000000000006</v>
      </c>
      <c r="K779" s="70">
        <v>749</v>
      </c>
      <c r="L779" s="70">
        <f t="shared" si="24"/>
        <v>1498</v>
      </c>
      <c r="M779" s="70">
        <v>74.399999999998897</v>
      </c>
    </row>
    <row r="780" spans="5:13" x14ac:dyDescent="0.3">
      <c r="E780" s="70">
        <v>750</v>
      </c>
      <c r="F780" s="70">
        <f t="shared" si="23"/>
        <v>3750</v>
      </c>
      <c r="G780" s="70">
        <v>74.800000000000594</v>
      </c>
      <c r="K780" s="70">
        <v>750</v>
      </c>
      <c r="L780" s="70">
        <f t="shared" si="24"/>
        <v>1500</v>
      </c>
      <c r="M780" s="70">
        <v>74.499999999998906</v>
      </c>
    </row>
    <row r="781" spans="5:13" x14ac:dyDescent="0.3">
      <c r="E781" s="70">
        <v>751</v>
      </c>
      <c r="F781" s="70">
        <f t="shared" si="23"/>
        <v>3755</v>
      </c>
      <c r="G781" s="70">
        <v>74.900000000000603</v>
      </c>
      <c r="K781" s="70">
        <v>751</v>
      </c>
      <c r="L781" s="70">
        <f t="shared" si="24"/>
        <v>1502</v>
      </c>
      <c r="M781" s="70">
        <v>74.5999999999989</v>
      </c>
    </row>
    <row r="782" spans="5:13" x14ac:dyDescent="0.3">
      <c r="E782" s="70">
        <v>752</v>
      </c>
      <c r="F782" s="70">
        <f t="shared" si="23"/>
        <v>3760</v>
      </c>
      <c r="G782" s="70">
        <v>75.000000000000597</v>
      </c>
      <c r="K782" s="70">
        <v>752</v>
      </c>
      <c r="L782" s="70">
        <f t="shared" si="24"/>
        <v>1504</v>
      </c>
      <c r="M782" s="70">
        <v>74.699999999998894</v>
      </c>
    </row>
    <row r="783" spans="5:13" x14ac:dyDescent="0.3">
      <c r="E783" s="70">
        <v>753</v>
      </c>
      <c r="F783" s="70">
        <f t="shared" si="23"/>
        <v>3765</v>
      </c>
      <c r="G783" s="70">
        <v>75.100000000000605</v>
      </c>
      <c r="K783" s="70">
        <v>753</v>
      </c>
      <c r="L783" s="70">
        <f t="shared" si="24"/>
        <v>1506</v>
      </c>
      <c r="M783" s="70">
        <v>74.799999999998903</v>
      </c>
    </row>
    <row r="784" spans="5:13" x14ac:dyDescent="0.3">
      <c r="E784" s="70">
        <v>754</v>
      </c>
      <c r="F784" s="70">
        <f t="shared" si="23"/>
        <v>3770</v>
      </c>
      <c r="G784" s="70">
        <v>75.2000000000006</v>
      </c>
      <c r="K784" s="70">
        <v>754</v>
      </c>
      <c r="L784" s="70">
        <f t="shared" si="24"/>
        <v>1508</v>
      </c>
      <c r="M784" s="70">
        <v>74.899999999998897</v>
      </c>
    </row>
    <row r="785" spans="5:13" x14ac:dyDescent="0.3">
      <c r="E785" s="70">
        <v>755</v>
      </c>
      <c r="F785" s="70">
        <f t="shared" si="23"/>
        <v>3775</v>
      </c>
      <c r="G785" s="70">
        <v>75.300000000000594</v>
      </c>
      <c r="K785" s="70">
        <v>755</v>
      </c>
      <c r="L785" s="70">
        <f t="shared" si="24"/>
        <v>1510</v>
      </c>
      <c r="M785" s="70">
        <v>74.999999999998906</v>
      </c>
    </row>
    <row r="786" spans="5:13" x14ac:dyDescent="0.3">
      <c r="E786" s="70">
        <v>756</v>
      </c>
      <c r="F786" s="70">
        <f t="shared" si="23"/>
        <v>3780</v>
      </c>
      <c r="G786" s="70">
        <v>75.400000000000603</v>
      </c>
      <c r="K786" s="70">
        <v>756</v>
      </c>
      <c r="L786" s="70">
        <f t="shared" si="24"/>
        <v>1512</v>
      </c>
      <c r="M786" s="70">
        <v>75.0999999999989</v>
      </c>
    </row>
    <row r="787" spans="5:13" x14ac:dyDescent="0.3">
      <c r="E787" s="70">
        <v>757</v>
      </c>
      <c r="F787" s="70">
        <f t="shared" si="23"/>
        <v>3785</v>
      </c>
      <c r="G787" s="70">
        <v>75.500000000000597</v>
      </c>
      <c r="K787" s="70">
        <v>757</v>
      </c>
      <c r="L787" s="70">
        <f t="shared" si="24"/>
        <v>1514</v>
      </c>
      <c r="M787" s="70">
        <v>75.199999999998894</v>
      </c>
    </row>
    <row r="788" spans="5:13" x14ac:dyDescent="0.3">
      <c r="E788" s="70">
        <v>758</v>
      </c>
      <c r="F788" s="70">
        <f t="shared" si="23"/>
        <v>3790</v>
      </c>
      <c r="G788" s="70">
        <v>75.600000000000605</v>
      </c>
      <c r="K788" s="70">
        <v>758</v>
      </c>
      <c r="L788" s="70">
        <f t="shared" si="24"/>
        <v>1516</v>
      </c>
      <c r="M788" s="70">
        <v>75.299999999998903</v>
      </c>
    </row>
    <row r="789" spans="5:13" x14ac:dyDescent="0.3">
      <c r="E789" s="70">
        <v>759</v>
      </c>
      <c r="F789" s="70">
        <f t="shared" si="23"/>
        <v>3795</v>
      </c>
      <c r="G789" s="70">
        <v>75.7000000000006</v>
      </c>
      <c r="K789" s="70">
        <v>759</v>
      </c>
      <c r="L789" s="70">
        <f t="shared" si="24"/>
        <v>1518</v>
      </c>
      <c r="M789" s="70">
        <v>75.399999999998897</v>
      </c>
    </row>
    <row r="790" spans="5:13" x14ac:dyDescent="0.3">
      <c r="E790" s="70">
        <v>760</v>
      </c>
      <c r="F790" s="70">
        <f t="shared" si="23"/>
        <v>3800</v>
      </c>
      <c r="G790" s="70">
        <v>75.800000000000594</v>
      </c>
      <c r="K790" s="70">
        <v>760</v>
      </c>
      <c r="L790" s="70">
        <f t="shared" si="24"/>
        <v>1520</v>
      </c>
      <c r="M790" s="70">
        <v>75.499999999998906</v>
      </c>
    </row>
    <row r="791" spans="5:13" x14ac:dyDescent="0.3">
      <c r="E791" s="70">
        <v>761</v>
      </c>
      <c r="F791" s="70">
        <f t="shared" si="23"/>
        <v>3805</v>
      </c>
      <c r="G791" s="70">
        <v>75.900000000000603</v>
      </c>
      <c r="K791" s="70">
        <v>761</v>
      </c>
      <c r="L791" s="70">
        <f t="shared" si="24"/>
        <v>1522</v>
      </c>
      <c r="M791" s="70">
        <v>75.5999999999989</v>
      </c>
    </row>
    <row r="792" spans="5:13" x14ac:dyDescent="0.3">
      <c r="E792" s="70">
        <v>762</v>
      </c>
      <c r="F792" s="70">
        <f t="shared" si="23"/>
        <v>3810</v>
      </c>
      <c r="G792" s="70">
        <v>76.000000000000597</v>
      </c>
      <c r="K792" s="70">
        <v>762</v>
      </c>
      <c r="L792" s="70">
        <f t="shared" si="24"/>
        <v>1524</v>
      </c>
      <c r="M792" s="70">
        <v>75.699999999998894</v>
      </c>
    </row>
    <row r="793" spans="5:13" x14ac:dyDescent="0.3">
      <c r="E793" s="70">
        <v>763</v>
      </c>
      <c r="F793" s="70">
        <f t="shared" si="23"/>
        <v>3815</v>
      </c>
      <c r="G793" s="70">
        <v>76.100000000000605</v>
      </c>
      <c r="K793" s="70">
        <v>763</v>
      </c>
      <c r="L793" s="70">
        <f t="shared" si="24"/>
        <v>1526</v>
      </c>
      <c r="M793" s="70">
        <v>75.799999999998903</v>
      </c>
    </row>
    <row r="794" spans="5:13" x14ac:dyDescent="0.3">
      <c r="E794" s="70">
        <v>764</v>
      </c>
      <c r="F794" s="70">
        <f t="shared" si="23"/>
        <v>3820</v>
      </c>
      <c r="G794" s="70">
        <v>76.2000000000006</v>
      </c>
      <c r="K794" s="70">
        <v>764</v>
      </c>
      <c r="L794" s="70">
        <f t="shared" si="24"/>
        <v>1528</v>
      </c>
      <c r="M794" s="70">
        <v>75.899999999998897</v>
      </c>
    </row>
    <row r="795" spans="5:13" x14ac:dyDescent="0.3">
      <c r="E795" s="70">
        <v>765</v>
      </c>
      <c r="F795" s="70">
        <f t="shared" si="23"/>
        <v>3825</v>
      </c>
      <c r="G795" s="70">
        <v>76.300000000000594</v>
      </c>
      <c r="K795" s="70">
        <v>765</v>
      </c>
      <c r="L795" s="70">
        <f t="shared" si="24"/>
        <v>1530</v>
      </c>
      <c r="M795" s="70">
        <v>75.999999999998906</v>
      </c>
    </row>
    <row r="796" spans="5:13" x14ac:dyDescent="0.3">
      <c r="E796" s="70">
        <v>766</v>
      </c>
      <c r="F796" s="70">
        <f t="shared" si="23"/>
        <v>3830</v>
      </c>
      <c r="G796" s="70">
        <v>76.400000000000603</v>
      </c>
      <c r="K796" s="70">
        <v>766</v>
      </c>
      <c r="L796" s="70">
        <f t="shared" si="24"/>
        <v>1532</v>
      </c>
      <c r="M796" s="70">
        <v>76.0999999999989</v>
      </c>
    </row>
    <row r="797" spans="5:13" x14ac:dyDescent="0.3">
      <c r="E797" s="70">
        <v>767</v>
      </c>
      <c r="F797" s="70">
        <f t="shared" si="23"/>
        <v>3835</v>
      </c>
      <c r="G797" s="70">
        <v>76.500000000000597</v>
      </c>
      <c r="K797" s="70">
        <v>767</v>
      </c>
      <c r="L797" s="70">
        <f t="shared" si="24"/>
        <v>1534</v>
      </c>
      <c r="M797" s="70">
        <v>76.199999999998894</v>
      </c>
    </row>
    <row r="798" spans="5:13" x14ac:dyDescent="0.3">
      <c r="E798" s="70">
        <v>768</v>
      </c>
      <c r="F798" s="70">
        <f t="shared" si="23"/>
        <v>3840</v>
      </c>
      <c r="G798" s="70">
        <v>76.600000000000605</v>
      </c>
      <c r="K798" s="70">
        <v>768</v>
      </c>
      <c r="L798" s="70">
        <f t="shared" si="24"/>
        <v>1536</v>
      </c>
      <c r="M798" s="70">
        <v>76.299999999998903</v>
      </c>
    </row>
    <row r="799" spans="5:13" x14ac:dyDescent="0.3">
      <c r="E799" s="70">
        <v>769</v>
      </c>
      <c r="F799" s="70">
        <f t="shared" si="23"/>
        <v>3845</v>
      </c>
      <c r="G799" s="70">
        <v>76.7000000000006</v>
      </c>
      <c r="K799" s="70">
        <v>769</v>
      </c>
      <c r="L799" s="70">
        <f t="shared" si="24"/>
        <v>1538</v>
      </c>
      <c r="M799" s="70">
        <v>76.399999999998897</v>
      </c>
    </row>
    <row r="800" spans="5:13" x14ac:dyDescent="0.3">
      <c r="E800" s="70">
        <v>770</v>
      </c>
      <c r="F800" s="70">
        <f t="shared" si="23"/>
        <v>3850</v>
      </c>
      <c r="G800" s="70">
        <v>76.800000000000594</v>
      </c>
      <c r="K800" s="70">
        <v>770</v>
      </c>
      <c r="L800" s="70">
        <f t="shared" si="24"/>
        <v>1540</v>
      </c>
      <c r="M800" s="70">
        <v>76.499999999998906</v>
      </c>
    </row>
    <row r="801" spans="5:13" x14ac:dyDescent="0.3">
      <c r="E801" s="70">
        <v>771</v>
      </c>
      <c r="F801" s="70">
        <f t="shared" ref="F801:F864" si="25">+F800+$F$27</f>
        <v>3855</v>
      </c>
      <c r="G801" s="70">
        <v>76.900000000000603</v>
      </c>
      <c r="K801" s="70">
        <v>771</v>
      </c>
      <c r="L801" s="70">
        <f t="shared" ref="L801:L864" si="26">+L800+$L$27</f>
        <v>1542</v>
      </c>
      <c r="M801" s="70">
        <v>76.599999999998801</v>
      </c>
    </row>
    <row r="802" spans="5:13" x14ac:dyDescent="0.3">
      <c r="E802" s="70">
        <v>772</v>
      </c>
      <c r="F802" s="70">
        <f t="shared" si="25"/>
        <v>3860</v>
      </c>
      <c r="G802" s="70">
        <v>77.000000000000597</v>
      </c>
      <c r="K802" s="70">
        <v>772</v>
      </c>
      <c r="L802" s="70">
        <f t="shared" si="26"/>
        <v>1544</v>
      </c>
      <c r="M802" s="70">
        <v>76.699999999998795</v>
      </c>
    </row>
    <row r="803" spans="5:13" x14ac:dyDescent="0.3">
      <c r="E803" s="70">
        <v>773</v>
      </c>
      <c r="F803" s="70">
        <f t="shared" si="25"/>
        <v>3865</v>
      </c>
      <c r="G803" s="70">
        <v>77.100000000000605</v>
      </c>
      <c r="K803" s="70">
        <v>773</v>
      </c>
      <c r="L803" s="70">
        <f t="shared" si="26"/>
        <v>1546</v>
      </c>
      <c r="M803" s="70">
        <v>76.799999999998803</v>
      </c>
    </row>
    <row r="804" spans="5:13" x14ac:dyDescent="0.3">
      <c r="E804" s="70">
        <v>774</v>
      </c>
      <c r="F804" s="70">
        <f t="shared" si="25"/>
        <v>3870</v>
      </c>
      <c r="G804" s="70">
        <v>77.2000000000006</v>
      </c>
      <c r="K804" s="70">
        <v>774</v>
      </c>
      <c r="L804" s="70">
        <f t="shared" si="26"/>
        <v>1548</v>
      </c>
      <c r="M804" s="70">
        <v>76.899999999998798</v>
      </c>
    </row>
    <row r="805" spans="5:13" x14ac:dyDescent="0.3">
      <c r="E805" s="70">
        <v>775</v>
      </c>
      <c r="F805" s="70">
        <f t="shared" si="25"/>
        <v>3875</v>
      </c>
      <c r="G805" s="70">
        <v>77.300000000000594</v>
      </c>
      <c r="K805" s="70">
        <v>775</v>
      </c>
      <c r="L805" s="70">
        <f t="shared" si="26"/>
        <v>1550</v>
      </c>
      <c r="M805" s="70">
        <v>76.999999999998806</v>
      </c>
    </row>
    <row r="806" spans="5:13" x14ac:dyDescent="0.3">
      <c r="E806" s="70">
        <v>776</v>
      </c>
      <c r="F806" s="70">
        <f t="shared" si="25"/>
        <v>3880</v>
      </c>
      <c r="G806" s="70">
        <v>77.400000000000603</v>
      </c>
      <c r="K806" s="70">
        <v>776</v>
      </c>
      <c r="L806" s="70">
        <f t="shared" si="26"/>
        <v>1552</v>
      </c>
      <c r="M806" s="70">
        <v>77.099999999998801</v>
      </c>
    </row>
    <row r="807" spans="5:13" x14ac:dyDescent="0.3">
      <c r="E807" s="70">
        <v>777</v>
      </c>
      <c r="F807" s="70">
        <f t="shared" si="25"/>
        <v>3885</v>
      </c>
      <c r="G807" s="70">
        <v>77.500000000000597</v>
      </c>
      <c r="K807" s="70">
        <v>777</v>
      </c>
      <c r="L807" s="70">
        <f t="shared" si="26"/>
        <v>1554</v>
      </c>
      <c r="M807" s="70">
        <v>77.199999999998795</v>
      </c>
    </row>
    <row r="808" spans="5:13" x14ac:dyDescent="0.3">
      <c r="E808" s="70">
        <v>778</v>
      </c>
      <c r="F808" s="70">
        <f t="shared" si="25"/>
        <v>3890</v>
      </c>
      <c r="G808" s="70">
        <v>77.600000000000605</v>
      </c>
      <c r="K808" s="70">
        <v>778</v>
      </c>
      <c r="L808" s="70">
        <f t="shared" si="26"/>
        <v>1556</v>
      </c>
      <c r="M808" s="70">
        <v>77.299999999998803</v>
      </c>
    </row>
    <row r="809" spans="5:13" x14ac:dyDescent="0.3">
      <c r="E809" s="70">
        <v>779</v>
      </c>
      <c r="F809" s="70">
        <f t="shared" si="25"/>
        <v>3895</v>
      </c>
      <c r="G809" s="70">
        <v>77.7000000000006</v>
      </c>
      <c r="K809" s="70">
        <v>779</v>
      </c>
      <c r="L809" s="70">
        <f t="shared" si="26"/>
        <v>1558</v>
      </c>
      <c r="M809" s="70">
        <v>77.399999999998798</v>
      </c>
    </row>
    <row r="810" spans="5:13" x14ac:dyDescent="0.3">
      <c r="E810" s="70">
        <v>780</v>
      </c>
      <c r="F810" s="70">
        <f t="shared" si="25"/>
        <v>3900</v>
      </c>
      <c r="G810" s="70">
        <v>77.800000000000594</v>
      </c>
      <c r="K810" s="70">
        <v>780</v>
      </c>
      <c r="L810" s="70">
        <f t="shared" si="26"/>
        <v>1560</v>
      </c>
      <c r="M810" s="70">
        <v>77.499999999998806</v>
      </c>
    </row>
    <row r="811" spans="5:13" x14ac:dyDescent="0.3">
      <c r="E811" s="70">
        <v>781</v>
      </c>
      <c r="F811" s="70">
        <f t="shared" si="25"/>
        <v>3905</v>
      </c>
      <c r="G811" s="70">
        <v>77.900000000000603</v>
      </c>
      <c r="K811" s="70">
        <v>781</v>
      </c>
      <c r="L811" s="70">
        <f t="shared" si="26"/>
        <v>1562</v>
      </c>
      <c r="M811" s="70">
        <v>77.599999999998801</v>
      </c>
    </row>
    <row r="812" spans="5:13" x14ac:dyDescent="0.3">
      <c r="E812" s="70">
        <v>782</v>
      </c>
      <c r="F812" s="70">
        <f t="shared" si="25"/>
        <v>3910</v>
      </c>
      <c r="G812" s="70">
        <v>78.000000000000597</v>
      </c>
      <c r="K812" s="70">
        <v>782</v>
      </c>
      <c r="L812" s="70">
        <f t="shared" si="26"/>
        <v>1564</v>
      </c>
      <c r="M812" s="70">
        <v>77.699999999998795</v>
      </c>
    </row>
    <row r="813" spans="5:13" x14ac:dyDescent="0.3">
      <c r="E813" s="70">
        <v>783</v>
      </c>
      <c r="F813" s="70">
        <f t="shared" si="25"/>
        <v>3915</v>
      </c>
      <c r="G813" s="70">
        <v>78.100000000000605</v>
      </c>
      <c r="K813" s="70">
        <v>783</v>
      </c>
      <c r="L813" s="70">
        <f t="shared" si="26"/>
        <v>1566</v>
      </c>
      <c r="M813" s="70">
        <v>77.799999999998803</v>
      </c>
    </row>
    <row r="814" spans="5:13" x14ac:dyDescent="0.3">
      <c r="E814" s="70">
        <v>784</v>
      </c>
      <c r="F814" s="70">
        <f t="shared" si="25"/>
        <v>3920</v>
      </c>
      <c r="G814" s="70">
        <v>78.2000000000006</v>
      </c>
      <c r="K814" s="70">
        <v>784</v>
      </c>
      <c r="L814" s="70">
        <f t="shared" si="26"/>
        <v>1568</v>
      </c>
      <c r="M814" s="70">
        <v>77.899999999998798</v>
      </c>
    </row>
    <row r="815" spans="5:13" x14ac:dyDescent="0.3">
      <c r="E815" s="70">
        <v>785</v>
      </c>
      <c r="F815" s="70">
        <f t="shared" si="25"/>
        <v>3925</v>
      </c>
      <c r="G815" s="70">
        <v>78.300000000000594</v>
      </c>
      <c r="K815" s="70">
        <v>785</v>
      </c>
      <c r="L815" s="70">
        <f t="shared" si="26"/>
        <v>1570</v>
      </c>
      <c r="M815" s="70">
        <v>77.999999999998806</v>
      </c>
    </row>
    <row r="816" spans="5:13" x14ac:dyDescent="0.3">
      <c r="E816" s="70">
        <v>786</v>
      </c>
      <c r="F816" s="70">
        <f t="shared" si="25"/>
        <v>3930</v>
      </c>
      <c r="G816" s="70">
        <v>78.400000000000603</v>
      </c>
      <c r="K816" s="70">
        <v>786</v>
      </c>
      <c r="L816" s="70">
        <f t="shared" si="26"/>
        <v>1572</v>
      </c>
      <c r="M816" s="70">
        <v>78.099999999998801</v>
      </c>
    </row>
    <row r="817" spans="5:13" x14ac:dyDescent="0.3">
      <c r="E817" s="70">
        <v>787</v>
      </c>
      <c r="F817" s="70">
        <f t="shared" si="25"/>
        <v>3935</v>
      </c>
      <c r="G817" s="70">
        <v>78.500000000000597</v>
      </c>
      <c r="K817" s="70">
        <v>787</v>
      </c>
      <c r="L817" s="70">
        <f t="shared" si="26"/>
        <v>1574</v>
      </c>
      <c r="M817" s="70">
        <v>78.199999999998795</v>
      </c>
    </row>
    <row r="818" spans="5:13" x14ac:dyDescent="0.3">
      <c r="E818" s="70">
        <v>788</v>
      </c>
      <c r="F818" s="70">
        <f t="shared" si="25"/>
        <v>3940</v>
      </c>
      <c r="G818" s="70">
        <v>78.600000000000605</v>
      </c>
      <c r="K818" s="70">
        <v>788</v>
      </c>
      <c r="L818" s="70">
        <f t="shared" si="26"/>
        <v>1576</v>
      </c>
      <c r="M818" s="70">
        <v>78.299999999998803</v>
      </c>
    </row>
    <row r="819" spans="5:13" x14ac:dyDescent="0.3">
      <c r="E819" s="70">
        <v>789</v>
      </c>
      <c r="F819" s="70">
        <f t="shared" si="25"/>
        <v>3945</v>
      </c>
      <c r="G819" s="70">
        <v>78.7000000000006</v>
      </c>
      <c r="K819" s="70">
        <v>789</v>
      </c>
      <c r="L819" s="70">
        <f t="shared" si="26"/>
        <v>1578</v>
      </c>
      <c r="M819" s="70">
        <v>78.399999999998798</v>
      </c>
    </row>
    <row r="820" spans="5:13" x14ac:dyDescent="0.3">
      <c r="E820" s="70">
        <v>790</v>
      </c>
      <c r="F820" s="70">
        <f t="shared" si="25"/>
        <v>3950</v>
      </c>
      <c r="G820" s="70">
        <v>78.800000000000594</v>
      </c>
      <c r="K820" s="70">
        <v>790</v>
      </c>
      <c r="L820" s="70">
        <f t="shared" si="26"/>
        <v>1580</v>
      </c>
      <c r="M820" s="70">
        <v>78.499999999998806</v>
      </c>
    </row>
    <row r="821" spans="5:13" x14ac:dyDescent="0.3">
      <c r="E821" s="70">
        <v>791</v>
      </c>
      <c r="F821" s="70">
        <f t="shared" si="25"/>
        <v>3955</v>
      </c>
      <c r="G821" s="70">
        <v>78.900000000000603</v>
      </c>
      <c r="K821" s="70">
        <v>791</v>
      </c>
      <c r="L821" s="70">
        <f t="shared" si="26"/>
        <v>1582</v>
      </c>
      <c r="M821" s="70">
        <v>78.599999999998801</v>
      </c>
    </row>
    <row r="822" spans="5:13" x14ac:dyDescent="0.3">
      <c r="E822" s="70">
        <v>792</v>
      </c>
      <c r="F822" s="70">
        <f t="shared" si="25"/>
        <v>3960</v>
      </c>
      <c r="G822" s="70">
        <v>79.000000000000597</v>
      </c>
      <c r="K822" s="70">
        <v>792</v>
      </c>
      <c r="L822" s="70">
        <f t="shared" si="26"/>
        <v>1584</v>
      </c>
      <c r="M822" s="70">
        <v>78.699999999998795</v>
      </c>
    </row>
    <row r="823" spans="5:13" x14ac:dyDescent="0.3">
      <c r="E823" s="70">
        <v>793</v>
      </c>
      <c r="F823" s="70">
        <f t="shared" si="25"/>
        <v>3965</v>
      </c>
      <c r="G823" s="70">
        <v>79.100000000000605</v>
      </c>
      <c r="K823" s="70">
        <v>793</v>
      </c>
      <c r="L823" s="70">
        <f t="shared" si="26"/>
        <v>1586</v>
      </c>
      <c r="M823" s="70">
        <v>78.799999999998803</v>
      </c>
    </row>
    <row r="824" spans="5:13" x14ac:dyDescent="0.3">
      <c r="E824" s="70">
        <v>794</v>
      </c>
      <c r="F824" s="70">
        <f t="shared" si="25"/>
        <v>3970</v>
      </c>
      <c r="G824" s="70">
        <v>79.2000000000006</v>
      </c>
      <c r="K824" s="70">
        <v>794</v>
      </c>
      <c r="L824" s="70">
        <f t="shared" si="26"/>
        <v>1588</v>
      </c>
      <c r="M824" s="70">
        <v>78.899999999998798</v>
      </c>
    </row>
    <row r="825" spans="5:13" x14ac:dyDescent="0.3">
      <c r="E825" s="70">
        <v>795</v>
      </c>
      <c r="F825" s="70">
        <f t="shared" si="25"/>
        <v>3975</v>
      </c>
      <c r="G825" s="70">
        <v>79.300000000000594</v>
      </c>
      <c r="K825" s="70">
        <v>795</v>
      </c>
      <c r="L825" s="70">
        <f t="shared" si="26"/>
        <v>1590</v>
      </c>
      <c r="M825" s="70">
        <v>78.999999999998806</v>
      </c>
    </row>
    <row r="826" spans="5:13" x14ac:dyDescent="0.3">
      <c r="E826" s="70">
        <v>796</v>
      </c>
      <c r="F826" s="70">
        <f t="shared" si="25"/>
        <v>3980</v>
      </c>
      <c r="G826" s="70">
        <v>79.400000000000603</v>
      </c>
      <c r="K826" s="70">
        <v>796</v>
      </c>
      <c r="L826" s="70">
        <f t="shared" si="26"/>
        <v>1592</v>
      </c>
      <c r="M826" s="70">
        <v>79.099999999998801</v>
      </c>
    </row>
    <row r="827" spans="5:13" x14ac:dyDescent="0.3">
      <c r="E827" s="70">
        <v>797</v>
      </c>
      <c r="F827" s="70">
        <f t="shared" si="25"/>
        <v>3985</v>
      </c>
      <c r="G827" s="70">
        <v>79.500000000000597</v>
      </c>
      <c r="K827" s="70">
        <v>797</v>
      </c>
      <c r="L827" s="70">
        <f t="shared" si="26"/>
        <v>1594</v>
      </c>
      <c r="M827" s="70">
        <v>79.199999999998795</v>
      </c>
    </row>
    <row r="828" spans="5:13" x14ac:dyDescent="0.3">
      <c r="E828" s="70">
        <v>798</v>
      </c>
      <c r="F828" s="70">
        <f t="shared" si="25"/>
        <v>3990</v>
      </c>
      <c r="G828" s="70">
        <v>79.600000000000605</v>
      </c>
      <c r="K828" s="70">
        <v>798</v>
      </c>
      <c r="L828" s="70">
        <f t="shared" si="26"/>
        <v>1596</v>
      </c>
      <c r="M828" s="70">
        <v>79.299999999998803</v>
      </c>
    </row>
    <row r="829" spans="5:13" x14ac:dyDescent="0.3">
      <c r="E829" s="70">
        <v>799</v>
      </c>
      <c r="F829" s="70">
        <f t="shared" si="25"/>
        <v>3995</v>
      </c>
      <c r="G829" s="70">
        <v>79.7000000000006</v>
      </c>
      <c r="K829" s="70">
        <v>799</v>
      </c>
      <c r="L829" s="70">
        <f t="shared" si="26"/>
        <v>1598</v>
      </c>
      <c r="M829" s="70">
        <v>79.399999999998798</v>
      </c>
    </row>
    <row r="830" spans="5:13" x14ac:dyDescent="0.3">
      <c r="E830" s="70">
        <v>800</v>
      </c>
      <c r="F830" s="70">
        <f t="shared" si="25"/>
        <v>4000</v>
      </c>
      <c r="G830" s="70">
        <v>79.800000000000594</v>
      </c>
      <c r="K830" s="70">
        <v>800</v>
      </c>
      <c r="L830" s="70">
        <f t="shared" si="26"/>
        <v>1600</v>
      </c>
      <c r="M830" s="70">
        <v>79.499999999998806</v>
      </c>
    </row>
    <row r="831" spans="5:13" x14ac:dyDescent="0.3">
      <c r="E831" s="70">
        <v>801</v>
      </c>
      <c r="F831" s="70">
        <f t="shared" si="25"/>
        <v>4005</v>
      </c>
      <c r="G831" s="70">
        <v>79.900000000000603</v>
      </c>
      <c r="K831" s="70">
        <v>801</v>
      </c>
      <c r="L831" s="70">
        <f t="shared" si="26"/>
        <v>1602</v>
      </c>
      <c r="M831" s="70">
        <v>79.599999999998801</v>
      </c>
    </row>
    <row r="832" spans="5:13" x14ac:dyDescent="0.3">
      <c r="E832" s="70">
        <v>802</v>
      </c>
      <c r="F832" s="70">
        <f t="shared" si="25"/>
        <v>4010</v>
      </c>
      <c r="G832" s="70">
        <v>80.000000000000597</v>
      </c>
      <c r="K832" s="70">
        <v>802</v>
      </c>
      <c r="L832" s="70">
        <f t="shared" si="26"/>
        <v>1604</v>
      </c>
      <c r="M832" s="70">
        <v>79.699999999998795</v>
      </c>
    </row>
    <row r="833" spans="5:13" x14ac:dyDescent="0.3">
      <c r="E833" s="70">
        <v>803</v>
      </c>
      <c r="F833" s="70">
        <f t="shared" si="25"/>
        <v>4015</v>
      </c>
      <c r="G833" s="70">
        <v>80.100000000000605</v>
      </c>
      <c r="K833" s="70">
        <v>803</v>
      </c>
      <c r="L833" s="70">
        <f t="shared" si="26"/>
        <v>1606</v>
      </c>
      <c r="M833" s="70">
        <v>79.799999999998803</v>
      </c>
    </row>
    <row r="834" spans="5:13" x14ac:dyDescent="0.3">
      <c r="E834" s="70">
        <v>804</v>
      </c>
      <c r="F834" s="70">
        <f t="shared" si="25"/>
        <v>4020</v>
      </c>
      <c r="G834" s="70">
        <v>80.2000000000006</v>
      </c>
      <c r="K834" s="70">
        <v>804</v>
      </c>
      <c r="L834" s="70">
        <f t="shared" si="26"/>
        <v>1608</v>
      </c>
      <c r="M834" s="70">
        <v>79.899999999998798</v>
      </c>
    </row>
    <row r="835" spans="5:13" x14ac:dyDescent="0.3">
      <c r="E835" s="70">
        <v>805</v>
      </c>
      <c r="F835" s="70">
        <f t="shared" si="25"/>
        <v>4025</v>
      </c>
      <c r="G835" s="70">
        <v>80.300000000000594</v>
      </c>
      <c r="K835" s="70">
        <v>805</v>
      </c>
      <c r="L835" s="70">
        <f t="shared" si="26"/>
        <v>1610</v>
      </c>
      <c r="M835" s="70">
        <v>79.999999999998806</v>
      </c>
    </row>
    <row r="836" spans="5:13" x14ac:dyDescent="0.3">
      <c r="E836" s="70">
        <v>806</v>
      </c>
      <c r="F836" s="70">
        <f t="shared" si="25"/>
        <v>4030</v>
      </c>
      <c r="G836" s="70">
        <v>80.400000000000603</v>
      </c>
      <c r="K836" s="70">
        <v>806</v>
      </c>
      <c r="L836" s="70">
        <f t="shared" si="26"/>
        <v>1612</v>
      </c>
      <c r="M836" s="70">
        <v>80.099999999998801</v>
      </c>
    </row>
    <row r="837" spans="5:13" x14ac:dyDescent="0.3">
      <c r="E837" s="70">
        <v>807</v>
      </c>
      <c r="F837" s="70">
        <f t="shared" si="25"/>
        <v>4035</v>
      </c>
      <c r="G837" s="70">
        <v>80.500000000000696</v>
      </c>
      <c r="K837" s="70">
        <v>807</v>
      </c>
      <c r="L837" s="70">
        <f t="shared" si="26"/>
        <v>1614</v>
      </c>
      <c r="M837" s="70">
        <v>80.199999999998795</v>
      </c>
    </row>
    <row r="838" spans="5:13" x14ac:dyDescent="0.3">
      <c r="E838" s="70">
        <v>808</v>
      </c>
      <c r="F838" s="70">
        <f t="shared" si="25"/>
        <v>4040</v>
      </c>
      <c r="G838" s="70">
        <v>80.600000000000705</v>
      </c>
      <c r="K838" s="70">
        <v>808</v>
      </c>
      <c r="L838" s="70">
        <f t="shared" si="26"/>
        <v>1616</v>
      </c>
      <c r="M838" s="70">
        <v>80.299999999998803</v>
      </c>
    </row>
    <row r="839" spans="5:13" x14ac:dyDescent="0.3">
      <c r="E839" s="70">
        <v>809</v>
      </c>
      <c r="F839" s="70">
        <f t="shared" si="25"/>
        <v>4045</v>
      </c>
      <c r="G839" s="70">
        <v>80.700000000000699</v>
      </c>
      <c r="K839" s="70">
        <v>809</v>
      </c>
      <c r="L839" s="70">
        <f t="shared" si="26"/>
        <v>1618</v>
      </c>
      <c r="M839" s="70">
        <v>80.399999999998798</v>
      </c>
    </row>
    <row r="840" spans="5:13" x14ac:dyDescent="0.3">
      <c r="E840" s="70">
        <v>810</v>
      </c>
      <c r="F840" s="70">
        <f t="shared" si="25"/>
        <v>4050</v>
      </c>
      <c r="G840" s="70">
        <v>80.800000000000693</v>
      </c>
      <c r="K840" s="70">
        <v>810</v>
      </c>
      <c r="L840" s="70">
        <f t="shared" si="26"/>
        <v>1620</v>
      </c>
      <c r="M840" s="70">
        <v>80.499999999998806</v>
      </c>
    </row>
    <row r="841" spans="5:13" x14ac:dyDescent="0.3">
      <c r="E841" s="70">
        <v>811</v>
      </c>
      <c r="F841" s="70">
        <f t="shared" si="25"/>
        <v>4055</v>
      </c>
      <c r="G841" s="70">
        <v>80.900000000000702</v>
      </c>
      <c r="K841" s="70">
        <v>811</v>
      </c>
      <c r="L841" s="70">
        <f t="shared" si="26"/>
        <v>1622</v>
      </c>
      <c r="M841" s="70">
        <v>80.599999999998801</v>
      </c>
    </row>
    <row r="842" spans="5:13" x14ac:dyDescent="0.3">
      <c r="E842" s="70">
        <v>812</v>
      </c>
      <c r="F842" s="70">
        <f t="shared" si="25"/>
        <v>4060</v>
      </c>
      <c r="G842" s="70">
        <v>81.000000000000696</v>
      </c>
      <c r="K842" s="70">
        <v>812</v>
      </c>
      <c r="L842" s="70">
        <f t="shared" si="26"/>
        <v>1624</v>
      </c>
      <c r="M842" s="70">
        <v>80.699999999998795</v>
      </c>
    </row>
    <row r="843" spans="5:13" x14ac:dyDescent="0.3">
      <c r="E843" s="70">
        <v>813</v>
      </c>
      <c r="F843" s="70">
        <f t="shared" si="25"/>
        <v>4065</v>
      </c>
      <c r="G843" s="70">
        <v>81.100000000000705</v>
      </c>
      <c r="K843" s="70">
        <v>813</v>
      </c>
      <c r="L843" s="70">
        <f t="shared" si="26"/>
        <v>1626</v>
      </c>
      <c r="M843" s="70">
        <v>80.799999999998803</v>
      </c>
    </row>
    <row r="844" spans="5:13" x14ac:dyDescent="0.3">
      <c r="E844" s="70">
        <v>814</v>
      </c>
      <c r="F844" s="70">
        <f t="shared" si="25"/>
        <v>4070</v>
      </c>
      <c r="G844" s="70">
        <v>81.200000000000699</v>
      </c>
      <c r="K844" s="70">
        <v>814</v>
      </c>
      <c r="L844" s="70">
        <f t="shared" si="26"/>
        <v>1628</v>
      </c>
      <c r="M844" s="70">
        <v>80.899999999998798</v>
      </c>
    </row>
    <row r="845" spans="5:13" x14ac:dyDescent="0.3">
      <c r="E845" s="70">
        <v>815</v>
      </c>
      <c r="F845" s="70">
        <f t="shared" si="25"/>
        <v>4075</v>
      </c>
      <c r="G845" s="70">
        <v>81.300000000000693</v>
      </c>
      <c r="K845" s="70">
        <v>815</v>
      </c>
      <c r="L845" s="70">
        <f t="shared" si="26"/>
        <v>1630</v>
      </c>
      <c r="M845" s="70">
        <v>80.999999999998806</v>
      </c>
    </row>
    <row r="846" spans="5:13" x14ac:dyDescent="0.3">
      <c r="E846" s="70">
        <v>816</v>
      </c>
      <c r="F846" s="70">
        <f t="shared" si="25"/>
        <v>4080</v>
      </c>
      <c r="G846" s="70">
        <v>81.400000000000702</v>
      </c>
      <c r="K846" s="70">
        <v>816</v>
      </c>
      <c r="L846" s="70">
        <f t="shared" si="26"/>
        <v>1632</v>
      </c>
      <c r="M846" s="70">
        <v>81.099999999998801</v>
      </c>
    </row>
    <row r="847" spans="5:13" x14ac:dyDescent="0.3">
      <c r="E847" s="70">
        <v>817</v>
      </c>
      <c r="F847" s="70">
        <f t="shared" si="25"/>
        <v>4085</v>
      </c>
      <c r="G847" s="70">
        <v>81.500000000000696</v>
      </c>
      <c r="K847" s="70">
        <v>817</v>
      </c>
      <c r="L847" s="70">
        <f t="shared" si="26"/>
        <v>1634</v>
      </c>
      <c r="M847" s="70">
        <v>81.199999999998795</v>
      </c>
    </row>
    <row r="848" spans="5:13" x14ac:dyDescent="0.3">
      <c r="E848" s="70">
        <v>818</v>
      </c>
      <c r="F848" s="70">
        <f t="shared" si="25"/>
        <v>4090</v>
      </c>
      <c r="G848" s="70">
        <v>81.600000000000705</v>
      </c>
      <c r="K848" s="70">
        <v>818</v>
      </c>
      <c r="L848" s="70">
        <f t="shared" si="26"/>
        <v>1636</v>
      </c>
      <c r="M848" s="70">
        <v>81.299999999998704</v>
      </c>
    </row>
    <row r="849" spans="5:13" x14ac:dyDescent="0.3">
      <c r="E849" s="70">
        <v>819</v>
      </c>
      <c r="F849" s="70">
        <f t="shared" si="25"/>
        <v>4095</v>
      </c>
      <c r="G849" s="70">
        <v>81.700000000000699</v>
      </c>
      <c r="K849" s="70">
        <v>819</v>
      </c>
      <c r="L849" s="70">
        <f t="shared" si="26"/>
        <v>1638</v>
      </c>
      <c r="M849" s="70">
        <v>81.399999999998698</v>
      </c>
    </row>
    <row r="850" spans="5:13" x14ac:dyDescent="0.3">
      <c r="E850" s="70">
        <v>820</v>
      </c>
      <c r="F850" s="70">
        <f t="shared" si="25"/>
        <v>4100</v>
      </c>
      <c r="G850" s="70">
        <v>81.800000000000693</v>
      </c>
      <c r="K850" s="70">
        <v>820</v>
      </c>
      <c r="L850" s="70">
        <f t="shared" si="26"/>
        <v>1640</v>
      </c>
      <c r="M850" s="70">
        <v>81.499999999998707</v>
      </c>
    </row>
    <row r="851" spans="5:13" x14ac:dyDescent="0.3">
      <c r="E851" s="70">
        <v>821</v>
      </c>
      <c r="F851" s="70">
        <f t="shared" si="25"/>
        <v>4105</v>
      </c>
      <c r="G851" s="70">
        <v>81.900000000000702</v>
      </c>
      <c r="K851" s="70">
        <v>821</v>
      </c>
      <c r="L851" s="70">
        <f t="shared" si="26"/>
        <v>1642</v>
      </c>
      <c r="M851" s="70">
        <v>81.599999999998701</v>
      </c>
    </row>
    <row r="852" spans="5:13" x14ac:dyDescent="0.3">
      <c r="E852" s="70">
        <v>822</v>
      </c>
      <c r="F852" s="70">
        <f t="shared" si="25"/>
        <v>4110</v>
      </c>
      <c r="G852" s="70">
        <v>82.000000000000696</v>
      </c>
      <c r="K852" s="70">
        <v>822</v>
      </c>
      <c r="L852" s="70">
        <f t="shared" si="26"/>
        <v>1644</v>
      </c>
      <c r="M852" s="70">
        <v>81.699999999998695</v>
      </c>
    </row>
    <row r="853" spans="5:13" x14ac:dyDescent="0.3">
      <c r="E853" s="70">
        <v>823</v>
      </c>
      <c r="F853" s="70">
        <f t="shared" si="25"/>
        <v>4115</v>
      </c>
      <c r="G853" s="70">
        <v>82.100000000000705</v>
      </c>
      <c r="K853" s="70">
        <v>823</v>
      </c>
      <c r="L853" s="70">
        <f t="shared" si="26"/>
        <v>1646</v>
      </c>
      <c r="M853" s="70">
        <v>81.799999999998704</v>
      </c>
    </row>
    <row r="854" spans="5:13" x14ac:dyDescent="0.3">
      <c r="E854" s="70">
        <v>824</v>
      </c>
      <c r="F854" s="70">
        <f t="shared" si="25"/>
        <v>4120</v>
      </c>
      <c r="G854" s="70">
        <v>82.200000000000699</v>
      </c>
      <c r="K854" s="70">
        <v>824</v>
      </c>
      <c r="L854" s="70">
        <f t="shared" si="26"/>
        <v>1648</v>
      </c>
      <c r="M854" s="70">
        <v>81.899999999998698</v>
      </c>
    </row>
    <row r="855" spans="5:13" x14ac:dyDescent="0.3">
      <c r="E855" s="70">
        <v>825</v>
      </c>
      <c r="F855" s="70">
        <f t="shared" si="25"/>
        <v>4125</v>
      </c>
      <c r="G855" s="70">
        <v>82.300000000000693</v>
      </c>
      <c r="K855" s="70">
        <v>825</v>
      </c>
      <c r="L855" s="70">
        <f t="shared" si="26"/>
        <v>1650</v>
      </c>
      <c r="M855" s="70">
        <v>81.999999999998707</v>
      </c>
    </row>
    <row r="856" spans="5:13" x14ac:dyDescent="0.3">
      <c r="E856" s="70">
        <v>826</v>
      </c>
      <c r="F856" s="70">
        <f t="shared" si="25"/>
        <v>4130</v>
      </c>
      <c r="G856" s="70">
        <v>82.400000000000702</v>
      </c>
      <c r="K856" s="70">
        <v>826</v>
      </c>
      <c r="L856" s="70">
        <f t="shared" si="26"/>
        <v>1652</v>
      </c>
      <c r="M856" s="70">
        <v>82.099999999998701</v>
      </c>
    </row>
    <row r="857" spans="5:13" x14ac:dyDescent="0.3">
      <c r="E857" s="70">
        <v>827</v>
      </c>
      <c r="F857" s="70">
        <f t="shared" si="25"/>
        <v>4135</v>
      </c>
      <c r="G857" s="70">
        <v>82.500000000000696</v>
      </c>
      <c r="K857" s="70">
        <v>827</v>
      </c>
      <c r="L857" s="70">
        <f t="shared" si="26"/>
        <v>1654</v>
      </c>
      <c r="M857" s="70">
        <v>82.199999999998695</v>
      </c>
    </row>
    <row r="858" spans="5:13" x14ac:dyDescent="0.3">
      <c r="E858" s="70">
        <v>828</v>
      </c>
      <c r="F858" s="70">
        <f t="shared" si="25"/>
        <v>4140</v>
      </c>
      <c r="G858" s="70">
        <v>82.600000000000705</v>
      </c>
      <c r="K858" s="70">
        <v>828</v>
      </c>
      <c r="L858" s="70">
        <f t="shared" si="26"/>
        <v>1656</v>
      </c>
      <c r="M858" s="70">
        <v>82.299999999998704</v>
      </c>
    </row>
    <row r="859" spans="5:13" x14ac:dyDescent="0.3">
      <c r="E859" s="70">
        <v>829</v>
      </c>
      <c r="F859" s="70">
        <f t="shared" si="25"/>
        <v>4145</v>
      </c>
      <c r="G859" s="70">
        <v>82.700000000000699</v>
      </c>
      <c r="K859" s="70">
        <v>829</v>
      </c>
      <c r="L859" s="70">
        <f t="shared" si="26"/>
        <v>1658</v>
      </c>
      <c r="M859" s="70">
        <v>82.399999999998698</v>
      </c>
    </row>
    <row r="860" spans="5:13" x14ac:dyDescent="0.3">
      <c r="E860" s="70">
        <v>830</v>
      </c>
      <c r="F860" s="70">
        <f t="shared" si="25"/>
        <v>4150</v>
      </c>
      <c r="G860" s="70">
        <v>82.800000000000693</v>
      </c>
      <c r="K860" s="70">
        <v>830</v>
      </c>
      <c r="L860" s="70">
        <f t="shared" si="26"/>
        <v>1660</v>
      </c>
      <c r="M860" s="70">
        <v>82.499999999998707</v>
      </c>
    </row>
    <row r="861" spans="5:13" x14ac:dyDescent="0.3">
      <c r="E861" s="70">
        <v>831</v>
      </c>
      <c r="F861" s="70">
        <f t="shared" si="25"/>
        <v>4155</v>
      </c>
      <c r="G861" s="70">
        <v>82.900000000000702</v>
      </c>
      <c r="K861" s="70">
        <v>831</v>
      </c>
      <c r="L861" s="70">
        <f t="shared" si="26"/>
        <v>1662</v>
      </c>
      <c r="M861" s="70">
        <v>82.599999999998701</v>
      </c>
    </row>
    <row r="862" spans="5:13" x14ac:dyDescent="0.3">
      <c r="E862" s="70">
        <v>832</v>
      </c>
      <c r="F862" s="70">
        <f t="shared" si="25"/>
        <v>4160</v>
      </c>
      <c r="G862" s="70">
        <v>83.000000000000696</v>
      </c>
      <c r="K862" s="70">
        <v>832</v>
      </c>
      <c r="L862" s="70">
        <f t="shared" si="26"/>
        <v>1664</v>
      </c>
      <c r="M862" s="70">
        <v>82.699999999998695</v>
      </c>
    </row>
    <row r="863" spans="5:13" x14ac:dyDescent="0.3">
      <c r="E863" s="70">
        <v>833</v>
      </c>
      <c r="F863" s="70">
        <f t="shared" si="25"/>
        <v>4165</v>
      </c>
      <c r="G863" s="70">
        <v>83.100000000000705</v>
      </c>
      <c r="K863" s="70">
        <v>833</v>
      </c>
      <c r="L863" s="70">
        <f t="shared" si="26"/>
        <v>1666</v>
      </c>
      <c r="M863" s="70">
        <v>82.799999999998704</v>
      </c>
    </row>
    <row r="864" spans="5:13" x14ac:dyDescent="0.3">
      <c r="E864" s="70">
        <v>834</v>
      </c>
      <c r="F864" s="70">
        <f t="shared" si="25"/>
        <v>4170</v>
      </c>
      <c r="G864" s="70">
        <v>83.200000000000699</v>
      </c>
      <c r="K864" s="70">
        <v>834</v>
      </c>
      <c r="L864" s="70">
        <f t="shared" si="26"/>
        <v>1668</v>
      </c>
      <c r="M864" s="70">
        <v>82.899999999998698</v>
      </c>
    </row>
    <row r="865" spans="5:13" x14ac:dyDescent="0.3">
      <c r="E865" s="70">
        <v>835</v>
      </c>
      <c r="F865" s="70">
        <f t="shared" ref="F865:F928" si="27">+F864+$F$27</f>
        <v>4175</v>
      </c>
      <c r="G865" s="70">
        <v>83.300000000000693</v>
      </c>
      <c r="K865" s="70">
        <v>835</v>
      </c>
      <c r="L865" s="70">
        <f t="shared" ref="L865:L928" si="28">+L864+$L$27</f>
        <v>1670</v>
      </c>
      <c r="M865" s="70">
        <v>82.999999999998707</v>
      </c>
    </row>
    <row r="866" spans="5:13" x14ac:dyDescent="0.3">
      <c r="E866" s="70">
        <v>836</v>
      </c>
      <c r="F866" s="70">
        <f t="shared" si="27"/>
        <v>4180</v>
      </c>
      <c r="G866" s="70">
        <v>83.400000000000702</v>
      </c>
      <c r="K866" s="70">
        <v>836</v>
      </c>
      <c r="L866" s="70">
        <f t="shared" si="28"/>
        <v>1672</v>
      </c>
      <c r="M866" s="70">
        <v>83.099999999998701</v>
      </c>
    </row>
    <row r="867" spans="5:13" x14ac:dyDescent="0.3">
      <c r="E867" s="70">
        <v>837</v>
      </c>
      <c r="F867" s="70">
        <f t="shared" si="27"/>
        <v>4185</v>
      </c>
      <c r="G867" s="70">
        <v>83.500000000000696</v>
      </c>
      <c r="K867" s="70">
        <v>837</v>
      </c>
      <c r="L867" s="70">
        <f t="shared" si="28"/>
        <v>1674</v>
      </c>
      <c r="M867" s="70">
        <v>83.199999999998695</v>
      </c>
    </row>
    <row r="868" spans="5:13" x14ac:dyDescent="0.3">
      <c r="E868" s="70">
        <v>838</v>
      </c>
      <c r="F868" s="70">
        <f t="shared" si="27"/>
        <v>4190</v>
      </c>
      <c r="G868" s="70">
        <v>83.600000000000705</v>
      </c>
      <c r="K868" s="70">
        <v>838</v>
      </c>
      <c r="L868" s="70">
        <f t="shared" si="28"/>
        <v>1676</v>
      </c>
      <c r="M868" s="70">
        <v>83.299999999998704</v>
      </c>
    </row>
    <row r="869" spans="5:13" x14ac:dyDescent="0.3">
      <c r="E869" s="70">
        <v>839</v>
      </c>
      <c r="F869" s="70">
        <f t="shared" si="27"/>
        <v>4195</v>
      </c>
      <c r="G869" s="70">
        <v>83.700000000000699</v>
      </c>
      <c r="K869" s="70">
        <v>839</v>
      </c>
      <c r="L869" s="70">
        <f t="shared" si="28"/>
        <v>1678</v>
      </c>
      <c r="M869" s="70">
        <v>83.399999999998698</v>
      </c>
    </row>
    <row r="870" spans="5:13" x14ac:dyDescent="0.3">
      <c r="E870" s="70">
        <v>840</v>
      </c>
      <c r="F870" s="70">
        <f t="shared" si="27"/>
        <v>4200</v>
      </c>
      <c r="G870" s="70">
        <v>83.800000000000693</v>
      </c>
      <c r="K870" s="70">
        <v>840</v>
      </c>
      <c r="L870" s="70">
        <f t="shared" si="28"/>
        <v>1680</v>
      </c>
      <c r="M870" s="70">
        <v>83.499999999998707</v>
      </c>
    </row>
    <row r="871" spans="5:13" x14ac:dyDescent="0.3">
      <c r="E871" s="70">
        <v>841</v>
      </c>
      <c r="F871" s="70">
        <f t="shared" si="27"/>
        <v>4205</v>
      </c>
      <c r="G871" s="70">
        <v>83.900000000000702</v>
      </c>
      <c r="K871" s="70">
        <v>841</v>
      </c>
      <c r="L871" s="70">
        <f t="shared" si="28"/>
        <v>1682</v>
      </c>
      <c r="M871" s="70">
        <v>83.599999999998701</v>
      </c>
    </row>
    <row r="872" spans="5:13" x14ac:dyDescent="0.3">
      <c r="E872" s="70">
        <v>842</v>
      </c>
      <c r="F872" s="70">
        <f t="shared" si="27"/>
        <v>4210</v>
      </c>
      <c r="G872" s="70">
        <v>84.000000000000696</v>
      </c>
      <c r="K872" s="70">
        <v>842</v>
      </c>
      <c r="L872" s="70">
        <f t="shared" si="28"/>
        <v>1684</v>
      </c>
      <c r="M872" s="70">
        <v>83.699999999998695</v>
      </c>
    </row>
    <row r="873" spans="5:13" x14ac:dyDescent="0.3">
      <c r="E873" s="70">
        <v>843</v>
      </c>
      <c r="F873" s="70">
        <f t="shared" si="27"/>
        <v>4215</v>
      </c>
      <c r="G873" s="70">
        <v>84.100000000000705</v>
      </c>
      <c r="K873" s="70">
        <v>843</v>
      </c>
      <c r="L873" s="70">
        <f t="shared" si="28"/>
        <v>1686</v>
      </c>
      <c r="M873" s="70">
        <v>83.799999999998704</v>
      </c>
    </row>
    <row r="874" spans="5:13" x14ac:dyDescent="0.3">
      <c r="E874" s="70">
        <v>844</v>
      </c>
      <c r="F874" s="70">
        <f t="shared" si="27"/>
        <v>4220</v>
      </c>
      <c r="G874" s="70">
        <v>84.200000000000699</v>
      </c>
      <c r="K874" s="70">
        <v>844</v>
      </c>
      <c r="L874" s="70">
        <f t="shared" si="28"/>
        <v>1688</v>
      </c>
      <c r="M874" s="70">
        <v>83.899999999998698</v>
      </c>
    </row>
    <row r="875" spans="5:13" x14ac:dyDescent="0.3">
      <c r="E875" s="70">
        <v>845</v>
      </c>
      <c r="F875" s="70">
        <f t="shared" si="27"/>
        <v>4225</v>
      </c>
      <c r="G875" s="70">
        <v>84.300000000000693</v>
      </c>
      <c r="K875" s="70">
        <v>845</v>
      </c>
      <c r="L875" s="70">
        <f t="shared" si="28"/>
        <v>1690</v>
      </c>
      <c r="M875" s="70">
        <v>83.999999999998707</v>
      </c>
    </row>
    <row r="876" spans="5:13" x14ac:dyDescent="0.3">
      <c r="E876" s="70">
        <v>846</v>
      </c>
      <c r="F876" s="70">
        <f t="shared" si="27"/>
        <v>4230</v>
      </c>
      <c r="G876" s="70">
        <v>84.400000000000702</v>
      </c>
      <c r="K876" s="70">
        <v>846</v>
      </c>
      <c r="L876" s="70">
        <f t="shared" si="28"/>
        <v>1692</v>
      </c>
      <c r="M876" s="70">
        <v>84.099999999998701</v>
      </c>
    </row>
    <row r="877" spans="5:13" x14ac:dyDescent="0.3">
      <c r="E877" s="70">
        <v>847</v>
      </c>
      <c r="F877" s="70">
        <f t="shared" si="27"/>
        <v>4235</v>
      </c>
      <c r="G877" s="70">
        <v>84.500000000000696</v>
      </c>
      <c r="K877" s="70">
        <v>847</v>
      </c>
      <c r="L877" s="70">
        <f t="shared" si="28"/>
        <v>1694</v>
      </c>
      <c r="M877" s="70">
        <v>84.199999999998695</v>
      </c>
    </row>
    <row r="878" spans="5:13" x14ac:dyDescent="0.3">
      <c r="E878" s="70">
        <v>848</v>
      </c>
      <c r="F878" s="70">
        <f t="shared" si="27"/>
        <v>4240</v>
      </c>
      <c r="G878" s="70">
        <v>84.600000000000705</v>
      </c>
      <c r="K878" s="70">
        <v>848</v>
      </c>
      <c r="L878" s="70">
        <f t="shared" si="28"/>
        <v>1696</v>
      </c>
      <c r="M878" s="70">
        <v>84.299999999998704</v>
      </c>
    </row>
    <row r="879" spans="5:13" x14ac:dyDescent="0.3">
      <c r="E879" s="70">
        <v>849</v>
      </c>
      <c r="F879" s="70">
        <f t="shared" si="27"/>
        <v>4245</v>
      </c>
      <c r="G879" s="70">
        <v>84.700000000000699</v>
      </c>
      <c r="K879" s="70">
        <v>849</v>
      </c>
      <c r="L879" s="70">
        <f t="shared" si="28"/>
        <v>1698</v>
      </c>
      <c r="M879" s="70">
        <v>84.399999999998698</v>
      </c>
    </row>
    <row r="880" spans="5:13" x14ac:dyDescent="0.3">
      <c r="E880" s="70">
        <v>850</v>
      </c>
      <c r="F880" s="70">
        <f t="shared" si="27"/>
        <v>4250</v>
      </c>
      <c r="G880" s="70">
        <v>84.800000000000693</v>
      </c>
      <c r="K880" s="70">
        <v>850</v>
      </c>
      <c r="L880" s="70">
        <f t="shared" si="28"/>
        <v>1700</v>
      </c>
      <c r="M880" s="70">
        <v>84.499999999998707</v>
      </c>
    </row>
    <row r="881" spans="5:13" x14ac:dyDescent="0.3">
      <c r="E881" s="70">
        <v>851</v>
      </c>
      <c r="F881" s="70">
        <f t="shared" si="27"/>
        <v>4255</v>
      </c>
      <c r="G881" s="70">
        <v>84.900000000000702</v>
      </c>
      <c r="K881" s="70">
        <v>851</v>
      </c>
      <c r="L881" s="70">
        <f t="shared" si="28"/>
        <v>1702</v>
      </c>
      <c r="M881" s="70">
        <v>84.599999999998701</v>
      </c>
    </row>
    <row r="882" spans="5:13" x14ac:dyDescent="0.3">
      <c r="E882" s="70">
        <v>852</v>
      </c>
      <c r="F882" s="70">
        <f t="shared" si="27"/>
        <v>4260</v>
      </c>
      <c r="G882" s="70">
        <v>85.000000000000696</v>
      </c>
      <c r="K882" s="70">
        <v>852</v>
      </c>
      <c r="L882" s="70">
        <f t="shared" si="28"/>
        <v>1704</v>
      </c>
      <c r="M882" s="70">
        <v>84.699999999998695</v>
      </c>
    </row>
    <row r="883" spans="5:13" x14ac:dyDescent="0.3">
      <c r="E883" s="70">
        <v>853</v>
      </c>
      <c r="F883" s="70">
        <f t="shared" si="27"/>
        <v>4265</v>
      </c>
      <c r="G883" s="70">
        <v>85.100000000000705</v>
      </c>
      <c r="K883" s="70">
        <v>853</v>
      </c>
      <c r="L883" s="70">
        <f t="shared" si="28"/>
        <v>1706</v>
      </c>
      <c r="M883" s="70">
        <v>84.799999999998704</v>
      </c>
    </row>
    <row r="884" spans="5:13" x14ac:dyDescent="0.3">
      <c r="E884" s="70">
        <v>854</v>
      </c>
      <c r="F884" s="70">
        <f t="shared" si="27"/>
        <v>4270</v>
      </c>
      <c r="G884" s="70">
        <v>85.200000000000699</v>
      </c>
      <c r="K884" s="70">
        <v>854</v>
      </c>
      <c r="L884" s="70">
        <f t="shared" si="28"/>
        <v>1708</v>
      </c>
      <c r="M884" s="70">
        <v>84.899999999998698</v>
      </c>
    </row>
    <row r="885" spans="5:13" x14ac:dyDescent="0.3">
      <c r="E885" s="70">
        <v>855</v>
      </c>
      <c r="F885" s="70">
        <f t="shared" si="27"/>
        <v>4275</v>
      </c>
      <c r="G885" s="70">
        <v>85.300000000000693</v>
      </c>
      <c r="K885" s="70">
        <v>855</v>
      </c>
      <c r="L885" s="70">
        <f t="shared" si="28"/>
        <v>1710</v>
      </c>
      <c r="M885" s="70">
        <v>84.999999999998707</v>
      </c>
    </row>
    <row r="886" spans="5:13" x14ac:dyDescent="0.3">
      <c r="E886" s="70">
        <v>856</v>
      </c>
      <c r="F886" s="70">
        <f t="shared" si="27"/>
        <v>4280</v>
      </c>
      <c r="G886" s="70">
        <v>85.400000000000702</v>
      </c>
      <c r="K886" s="70">
        <v>856</v>
      </c>
      <c r="L886" s="70">
        <f t="shared" si="28"/>
        <v>1712</v>
      </c>
      <c r="M886" s="70">
        <v>85.099999999998701</v>
      </c>
    </row>
    <row r="887" spans="5:13" x14ac:dyDescent="0.3">
      <c r="E887" s="70">
        <v>857</v>
      </c>
      <c r="F887" s="70">
        <f t="shared" si="27"/>
        <v>4285</v>
      </c>
      <c r="G887" s="70">
        <v>85.500000000000696</v>
      </c>
      <c r="K887" s="70">
        <v>857</v>
      </c>
      <c r="L887" s="70">
        <f t="shared" si="28"/>
        <v>1714</v>
      </c>
      <c r="M887" s="70">
        <v>85.199999999998695</v>
      </c>
    </row>
    <row r="888" spans="5:13" x14ac:dyDescent="0.3">
      <c r="E888" s="70">
        <v>858</v>
      </c>
      <c r="F888" s="70">
        <f t="shared" si="27"/>
        <v>4290</v>
      </c>
      <c r="G888" s="70">
        <v>85.600000000000705</v>
      </c>
      <c r="K888" s="70">
        <v>858</v>
      </c>
      <c r="L888" s="70">
        <f t="shared" si="28"/>
        <v>1716</v>
      </c>
      <c r="M888" s="70">
        <v>85.299999999998704</v>
      </c>
    </row>
    <row r="889" spans="5:13" x14ac:dyDescent="0.3">
      <c r="E889" s="70">
        <v>859</v>
      </c>
      <c r="F889" s="70">
        <f t="shared" si="27"/>
        <v>4295</v>
      </c>
      <c r="G889" s="70">
        <v>85.700000000000699</v>
      </c>
      <c r="K889" s="70">
        <v>859</v>
      </c>
      <c r="L889" s="70">
        <f t="shared" si="28"/>
        <v>1718</v>
      </c>
      <c r="M889" s="70">
        <v>85.399999999998698</v>
      </c>
    </row>
    <row r="890" spans="5:13" x14ac:dyDescent="0.3">
      <c r="E890" s="70">
        <v>860</v>
      </c>
      <c r="F890" s="70">
        <f t="shared" si="27"/>
        <v>4300</v>
      </c>
      <c r="G890" s="70">
        <v>85.800000000000693</v>
      </c>
      <c r="K890" s="70">
        <v>860</v>
      </c>
      <c r="L890" s="70">
        <f t="shared" si="28"/>
        <v>1720</v>
      </c>
      <c r="M890" s="70">
        <v>85.499999999998707</v>
      </c>
    </row>
    <row r="891" spans="5:13" x14ac:dyDescent="0.3">
      <c r="E891" s="70">
        <v>861</v>
      </c>
      <c r="F891" s="70">
        <f t="shared" si="27"/>
        <v>4305</v>
      </c>
      <c r="G891" s="70">
        <v>85.900000000000702</v>
      </c>
      <c r="K891" s="70">
        <v>861</v>
      </c>
      <c r="L891" s="70">
        <f t="shared" si="28"/>
        <v>1722</v>
      </c>
      <c r="M891" s="70">
        <v>85.599999999998701</v>
      </c>
    </row>
    <row r="892" spans="5:13" x14ac:dyDescent="0.3">
      <c r="E892" s="70">
        <v>862</v>
      </c>
      <c r="F892" s="70">
        <f t="shared" si="27"/>
        <v>4310</v>
      </c>
      <c r="G892" s="70">
        <v>86.000000000000696</v>
      </c>
      <c r="K892" s="70">
        <v>862</v>
      </c>
      <c r="L892" s="70">
        <f t="shared" si="28"/>
        <v>1724</v>
      </c>
      <c r="M892" s="70">
        <v>85.699999999998695</v>
      </c>
    </row>
    <row r="893" spans="5:13" x14ac:dyDescent="0.3">
      <c r="E893" s="70">
        <v>863</v>
      </c>
      <c r="F893" s="70">
        <f t="shared" si="27"/>
        <v>4315</v>
      </c>
      <c r="G893" s="70">
        <v>86.100000000000705</v>
      </c>
      <c r="K893" s="70">
        <v>863</v>
      </c>
      <c r="L893" s="70">
        <f t="shared" si="28"/>
        <v>1726</v>
      </c>
      <c r="M893" s="70">
        <v>85.799999999998604</v>
      </c>
    </row>
    <row r="894" spans="5:13" x14ac:dyDescent="0.3">
      <c r="E894" s="70">
        <v>864</v>
      </c>
      <c r="F894" s="70">
        <f t="shared" si="27"/>
        <v>4320</v>
      </c>
      <c r="G894" s="70">
        <v>86.200000000000699</v>
      </c>
      <c r="K894" s="70">
        <v>864</v>
      </c>
      <c r="L894" s="70">
        <f t="shared" si="28"/>
        <v>1728</v>
      </c>
      <c r="M894" s="70">
        <v>85.899999999998698</v>
      </c>
    </row>
    <row r="895" spans="5:13" x14ac:dyDescent="0.3">
      <c r="E895" s="70">
        <v>865</v>
      </c>
      <c r="F895" s="70">
        <f t="shared" si="27"/>
        <v>4325</v>
      </c>
      <c r="G895" s="70">
        <v>86.300000000000693</v>
      </c>
      <c r="K895" s="70">
        <v>865</v>
      </c>
      <c r="L895" s="70">
        <f t="shared" si="28"/>
        <v>1730</v>
      </c>
      <c r="M895" s="70">
        <v>85.999999999998707</v>
      </c>
    </row>
    <row r="896" spans="5:13" x14ac:dyDescent="0.3">
      <c r="E896" s="70">
        <v>866</v>
      </c>
      <c r="F896" s="70">
        <f t="shared" si="27"/>
        <v>4330</v>
      </c>
      <c r="G896" s="70">
        <v>86.400000000000702</v>
      </c>
      <c r="K896" s="70">
        <v>866</v>
      </c>
      <c r="L896" s="70">
        <f t="shared" si="28"/>
        <v>1732</v>
      </c>
      <c r="M896" s="70">
        <v>86.099999999998602</v>
      </c>
    </row>
    <row r="897" spans="5:13" x14ac:dyDescent="0.3">
      <c r="E897" s="70">
        <v>867</v>
      </c>
      <c r="F897" s="70">
        <f t="shared" si="27"/>
        <v>4335</v>
      </c>
      <c r="G897" s="70">
        <v>86.500000000000696</v>
      </c>
      <c r="K897" s="70">
        <v>867</v>
      </c>
      <c r="L897" s="70">
        <f t="shared" si="28"/>
        <v>1734</v>
      </c>
      <c r="M897" s="70">
        <v>86.199999999998596</v>
      </c>
    </row>
    <row r="898" spans="5:13" x14ac:dyDescent="0.3">
      <c r="E898" s="70">
        <v>868</v>
      </c>
      <c r="F898" s="70">
        <f t="shared" si="27"/>
        <v>4340</v>
      </c>
      <c r="G898" s="70">
        <v>86.600000000000705</v>
      </c>
      <c r="K898" s="70">
        <v>868</v>
      </c>
      <c r="L898" s="70">
        <f t="shared" si="28"/>
        <v>1736</v>
      </c>
      <c r="M898" s="70">
        <v>86.299999999998604</v>
      </c>
    </row>
    <row r="899" spans="5:13" x14ac:dyDescent="0.3">
      <c r="E899" s="70">
        <v>869</v>
      </c>
      <c r="F899" s="70">
        <f t="shared" si="27"/>
        <v>4345</v>
      </c>
      <c r="G899" s="70">
        <v>86.700000000000699</v>
      </c>
      <c r="K899" s="70">
        <v>869</v>
      </c>
      <c r="L899" s="70">
        <f t="shared" si="28"/>
        <v>1738</v>
      </c>
      <c r="M899" s="70">
        <v>86.399999999998599</v>
      </c>
    </row>
    <row r="900" spans="5:13" x14ac:dyDescent="0.3">
      <c r="E900" s="70">
        <v>870</v>
      </c>
      <c r="F900" s="70">
        <f t="shared" si="27"/>
        <v>4350</v>
      </c>
      <c r="G900" s="70">
        <v>86.800000000000693</v>
      </c>
      <c r="K900" s="70">
        <v>870</v>
      </c>
      <c r="L900" s="70">
        <f t="shared" si="28"/>
        <v>1740</v>
      </c>
      <c r="M900" s="70">
        <v>86.499999999998593</v>
      </c>
    </row>
    <row r="901" spans="5:13" x14ac:dyDescent="0.3">
      <c r="E901" s="70">
        <v>871</v>
      </c>
      <c r="F901" s="70">
        <f t="shared" si="27"/>
        <v>4355</v>
      </c>
      <c r="G901" s="70">
        <v>86.900000000000702</v>
      </c>
      <c r="K901" s="70">
        <v>871</v>
      </c>
      <c r="L901" s="70">
        <f t="shared" si="28"/>
        <v>1742</v>
      </c>
      <c r="M901" s="70">
        <v>86.599999999998602</v>
      </c>
    </row>
    <row r="902" spans="5:13" x14ac:dyDescent="0.3">
      <c r="E902" s="70">
        <v>872</v>
      </c>
      <c r="F902" s="70">
        <f t="shared" si="27"/>
        <v>4360</v>
      </c>
      <c r="G902" s="70">
        <v>87.000000000000696</v>
      </c>
      <c r="K902" s="70">
        <v>872</v>
      </c>
      <c r="L902" s="70">
        <f t="shared" si="28"/>
        <v>1744</v>
      </c>
      <c r="M902" s="70">
        <v>86.699999999998596</v>
      </c>
    </row>
    <row r="903" spans="5:13" x14ac:dyDescent="0.3">
      <c r="E903" s="70">
        <v>873</v>
      </c>
      <c r="F903" s="70">
        <f t="shared" si="27"/>
        <v>4365</v>
      </c>
      <c r="G903" s="70">
        <v>87.100000000000705</v>
      </c>
      <c r="K903" s="70">
        <v>873</v>
      </c>
      <c r="L903" s="70">
        <f t="shared" si="28"/>
        <v>1746</v>
      </c>
      <c r="M903" s="70">
        <v>86.799999999998604</v>
      </c>
    </row>
    <row r="904" spans="5:13" x14ac:dyDescent="0.3">
      <c r="E904" s="70">
        <v>874</v>
      </c>
      <c r="F904" s="70">
        <f t="shared" si="27"/>
        <v>4370</v>
      </c>
      <c r="G904" s="70">
        <v>87.200000000000699</v>
      </c>
      <c r="K904" s="70">
        <v>874</v>
      </c>
      <c r="L904" s="70">
        <f t="shared" si="28"/>
        <v>1748</v>
      </c>
      <c r="M904" s="70">
        <v>86.899999999998599</v>
      </c>
    </row>
    <row r="905" spans="5:13" x14ac:dyDescent="0.3">
      <c r="E905" s="70">
        <v>875</v>
      </c>
      <c r="F905" s="70">
        <f t="shared" si="27"/>
        <v>4375</v>
      </c>
      <c r="G905" s="70">
        <v>87.300000000000693</v>
      </c>
      <c r="K905" s="70">
        <v>875</v>
      </c>
      <c r="L905" s="70">
        <f t="shared" si="28"/>
        <v>1750</v>
      </c>
      <c r="M905" s="70">
        <v>86.999999999998593</v>
      </c>
    </row>
    <row r="906" spans="5:13" x14ac:dyDescent="0.3">
      <c r="E906" s="70">
        <v>876</v>
      </c>
      <c r="F906" s="70">
        <f t="shared" si="27"/>
        <v>4380</v>
      </c>
      <c r="G906" s="70">
        <v>87.400000000000702</v>
      </c>
      <c r="K906" s="70">
        <v>876</v>
      </c>
      <c r="L906" s="70">
        <f t="shared" si="28"/>
        <v>1752</v>
      </c>
      <c r="M906" s="70">
        <v>87.099999999998602</v>
      </c>
    </row>
    <row r="907" spans="5:13" x14ac:dyDescent="0.3">
      <c r="E907" s="70">
        <v>877</v>
      </c>
      <c r="F907" s="70">
        <f t="shared" si="27"/>
        <v>4385</v>
      </c>
      <c r="G907" s="70">
        <v>87.500000000000696</v>
      </c>
      <c r="K907" s="70">
        <v>877</v>
      </c>
      <c r="L907" s="70">
        <f t="shared" si="28"/>
        <v>1754</v>
      </c>
      <c r="M907" s="70">
        <v>87.199999999998596</v>
      </c>
    </row>
    <row r="908" spans="5:13" x14ac:dyDescent="0.3">
      <c r="E908" s="70">
        <v>878</v>
      </c>
      <c r="F908" s="70">
        <f t="shared" si="27"/>
        <v>4390</v>
      </c>
      <c r="G908" s="70">
        <v>87.600000000000804</v>
      </c>
      <c r="K908" s="70">
        <v>878</v>
      </c>
      <c r="L908" s="70">
        <f t="shared" si="28"/>
        <v>1756</v>
      </c>
      <c r="M908" s="70">
        <v>87.299999999998604</v>
      </c>
    </row>
    <row r="909" spans="5:13" x14ac:dyDescent="0.3">
      <c r="E909" s="70">
        <v>879</v>
      </c>
      <c r="F909" s="70">
        <f t="shared" si="27"/>
        <v>4395</v>
      </c>
      <c r="G909" s="70">
        <v>87.700000000000799</v>
      </c>
      <c r="K909" s="70">
        <v>879</v>
      </c>
      <c r="L909" s="70">
        <f t="shared" si="28"/>
        <v>1758</v>
      </c>
      <c r="M909" s="70">
        <v>87.399999999998599</v>
      </c>
    </row>
    <row r="910" spans="5:13" x14ac:dyDescent="0.3">
      <c r="E910" s="70">
        <v>880</v>
      </c>
      <c r="F910" s="70">
        <f t="shared" si="27"/>
        <v>4400</v>
      </c>
      <c r="G910" s="70">
        <v>87.800000000000793</v>
      </c>
      <c r="K910" s="70">
        <v>880</v>
      </c>
      <c r="L910" s="70">
        <f t="shared" si="28"/>
        <v>1760</v>
      </c>
      <c r="M910" s="70">
        <v>87.499999999998593</v>
      </c>
    </row>
    <row r="911" spans="5:13" x14ac:dyDescent="0.3">
      <c r="E911" s="70">
        <v>881</v>
      </c>
      <c r="F911" s="70">
        <f t="shared" si="27"/>
        <v>4405</v>
      </c>
      <c r="G911" s="70">
        <v>87.900000000000801</v>
      </c>
      <c r="K911" s="70">
        <v>881</v>
      </c>
      <c r="L911" s="70">
        <f t="shared" si="28"/>
        <v>1762</v>
      </c>
      <c r="M911" s="70">
        <v>87.599999999998602</v>
      </c>
    </row>
    <row r="912" spans="5:13" x14ac:dyDescent="0.3">
      <c r="E912" s="70">
        <v>882</v>
      </c>
      <c r="F912" s="70">
        <f t="shared" si="27"/>
        <v>4410</v>
      </c>
      <c r="G912" s="70">
        <v>88.000000000000796</v>
      </c>
      <c r="K912" s="70">
        <v>882</v>
      </c>
      <c r="L912" s="70">
        <f t="shared" si="28"/>
        <v>1764</v>
      </c>
      <c r="M912" s="70">
        <v>87.699999999998596</v>
      </c>
    </row>
    <row r="913" spans="5:13" x14ac:dyDescent="0.3">
      <c r="E913" s="70">
        <v>883</v>
      </c>
      <c r="F913" s="70">
        <f t="shared" si="27"/>
        <v>4415</v>
      </c>
      <c r="G913" s="70">
        <v>88.100000000000804</v>
      </c>
      <c r="K913" s="70">
        <v>883</v>
      </c>
      <c r="L913" s="70">
        <f t="shared" si="28"/>
        <v>1766</v>
      </c>
      <c r="M913" s="70">
        <v>87.799999999998604</v>
      </c>
    </row>
    <row r="914" spans="5:13" x14ac:dyDescent="0.3">
      <c r="E914" s="70">
        <v>884</v>
      </c>
      <c r="F914" s="70">
        <f t="shared" si="27"/>
        <v>4420</v>
      </c>
      <c r="G914" s="70">
        <v>88.200000000000799</v>
      </c>
      <c r="K914" s="70">
        <v>884</v>
      </c>
      <c r="L914" s="70">
        <f t="shared" si="28"/>
        <v>1768</v>
      </c>
      <c r="M914" s="70">
        <v>87.899999999998599</v>
      </c>
    </row>
    <row r="915" spans="5:13" x14ac:dyDescent="0.3">
      <c r="E915" s="70">
        <v>885</v>
      </c>
      <c r="F915" s="70">
        <f t="shared" si="27"/>
        <v>4425</v>
      </c>
      <c r="G915" s="70">
        <v>88.300000000000793</v>
      </c>
      <c r="K915" s="70">
        <v>885</v>
      </c>
      <c r="L915" s="70">
        <f t="shared" si="28"/>
        <v>1770</v>
      </c>
      <c r="M915" s="70">
        <v>87.999999999998593</v>
      </c>
    </row>
    <row r="916" spans="5:13" x14ac:dyDescent="0.3">
      <c r="E916" s="70">
        <v>886</v>
      </c>
      <c r="F916" s="70">
        <f t="shared" si="27"/>
        <v>4430</v>
      </c>
      <c r="G916" s="70">
        <v>88.400000000000801</v>
      </c>
      <c r="K916" s="70">
        <v>886</v>
      </c>
      <c r="L916" s="70">
        <f t="shared" si="28"/>
        <v>1772</v>
      </c>
      <c r="M916" s="70">
        <v>88.099999999998602</v>
      </c>
    </row>
    <row r="917" spans="5:13" x14ac:dyDescent="0.3">
      <c r="E917" s="70">
        <v>887</v>
      </c>
      <c r="F917" s="70">
        <f t="shared" si="27"/>
        <v>4435</v>
      </c>
      <c r="G917" s="70">
        <v>88.500000000000796</v>
      </c>
      <c r="K917" s="70">
        <v>887</v>
      </c>
      <c r="L917" s="70">
        <f t="shared" si="28"/>
        <v>1774</v>
      </c>
      <c r="M917" s="70">
        <v>88.199999999998596</v>
      </c>
    </row>
    <row r="918" spans="5:13" x14ac:dyDescent="0.3">
      <c r="E918" s="70">
        <v>888</v>
      </c>
      <c r="F918" s="70">
        <f t="shared" si="27"/>
        <v>4440</v>
      </c>
      <c r="G918" s="70">
        <v>88.600000000000804</v>
      </c>
      <c r="K918" s="70">
        <v>888</v>
      </c>
      <c r="L918" s="70">
        <f t="shared" si="28"/>
        <v>1776</v>
      </c>
      <c r="M918" s="70">
        <v>88.299999999998604</v>
      </c>
    </row>
    <row r="919" spans="5:13" x14ac:dyDescent="0.3">
      <c r="E919" s="70">
        <v>889</v>
      </c>
      <c r="F919" s="70">
        <f t="shared" si="27"/>
        <v>4445</v>
      </c>
      <c r="G919" s="70">
        <v>88.700000000000799</v>
      </c>
      <c r="K919" s="70">
        <v>889</v>
      </c>
      <c r="L919" s="70">
        <f t="shared" si="28"/>
        <v>1778</v>
      </c>
      <c r="M919" s="70">
        <v>88.399999999998599</v>
      </c>
    </row>
    <row r="920" spans="5:13" x14ac:dyDescent="0.3">
      <c r="E920" s="70">
        <v>890</v>
      </c>
      <c r="F920" s="70">
        <f t="shared" si="27"/>
        <v>4450</v>
      </c>
      <c r="G920" s="70">
        <v>88.800000000000793</v>
      </c>
      <c r="K920" s="70">
        <v>890</v>
      </c>
      <c r="L920" s="70">
        <f t="shared" si="28"/>
        <v>1780</v>
      </c>
      <c r="M920" s="70">
        <v>88.499999999998593</v>
      </c>
    </row>
    <row r="921" spans="5:13" x14ac:dyDescent="0.3">
      <c r="E921" s="70">
        <v>891</v>
      </c>
      <c r="F921" s="70">
        <f t="shared" si="27"/>
        <v>4455</v>
      </c>
      <c r="G921" s="70">
        <v>88.900000000000801</v>
      </c>
      <c r="K921" s="70">
        <v>891</v>
      </c>
      <c r="L921" s="70">
        <f t="shared" si="28"/>
        <v>1782</v>
      </c>
      <c r="M921" s="70">
        <v>88.599999999998602</v>
      </c>
    </row>
    <row r="922" spans="5:13" x14ac:dyDescent="0.3">
      <c r="E922" s="70">
        <v>892</v>
      </c>
      <c r="F922" s="70">
        <f t="shared" si="27"/>
        <v>4460</v>
      </c>
      <c r="G922" s="70">
        <v>89.000000000000796</v>
      </c>
      <c r="K922" s="70">
        <v>892</v>
      </c>
      <c r="L922" s="70">
        <f t="shared" si="28"/>
        <v>1784</v>
      </c>
      <c r="M922" s="70">
        <v>88.699999999998596</v>
      </c>
    </row>
    <row r="923" spans="5:13" x14ac:dyDescent="0.3">
      <c r="E923" s="70">
        <v>893</v>
      </c>
      <c r="F923" s="70">
        <f t="shared" si="27"/>
        <v>4465</v>
      </c>
      <c r="G923" s="70">
        <v>89.100000000000804</v>
      </c>
      <c r="K923" s="70">
        <v>893</v>
      </c>
      <c r="L923" s="70">
        <f t="shared" si="28"/>
        <v>1786</v>
      </c>
      <c r="M923" s="70">
        <v>88.799999999998604</v>
      </c>
    </row>
    <row r="924" spans="5:13" x14ac:dyDescent="0.3">
      <c r="E924" s="70">
        <v>894</v>
      </c>
      <c r="F924" s="70">
        <f t="shared" si="27"/>
        <v>4470</v>
      </c>
      <c r="G924" s="70">
        <v>89.200000000000799</v>
      </c>
      <c r="K924" s="70">
        <v>894</v>
      </c>
      <c r="L924" s="70">
        <f t="shared" si="28"/>
        <v>1788</v>
      </c>
      <c r="M924" s="70">
        <v>88.899999999998599</v>
      </c>
    </row>
    <row r="925" spans="5:13" x14ac:dyDescent="0.3">
      <c r="E925" s="70">
        <v>895</v>
      </c>
      <c r="F925" s="70">
        <f t="shared" si="27"/>
        <v>4475</v>
      </c>
      <c r="G925" s="70">
        <v>89.300000000000793</v>
      </c>
      <c r="K925" s="70">
        <v>895</v>
      </c>
      <c r="L925" s="70">
        <f t="shared" si="28"/>
        <v>1790</v>
      </c>
      <c r="M925" s="70">
        <v>88.999999999998593</v>
      </c>
    </row>
    <row r="926" spans="5:13" x14ac:dyDescent="0.3">
      <c r="E926" s="70">
        <v>896</v>
      </c>
      <c r="F926" s="70">
        <f t="shared" si="27"/>
        <v>4480</v>
      </c>
      <c r="G926" s="70">
        <v>89.400000000000801</v>
      </c>
      <c r="K926" s="70">
        <v>896</v>
      </c>
      <c r="L926" s="70">
        <f t="shared" si="28"/>
        <v>1792</v>
      </c>
      <c r="M926" s="70">
        <v>89.099999999998602</v>
      </c>
    </row>
    <row r="927" spans="5:13" x14ac:dyDescent="0.3">
      <c r="E927" s="70">
        <v>897</v>
      </c>
      <c r="F927" s="70">
        <f t="shared" si="27"/>
        <v>4485</v>
      </c>
      <c r="G927" s="70">
        <v>89.500000000000796</v>
      </c>
      <c r="K927" s="70">
        <v>897</v>
      </c>
      <c r="L927" s="70">
        <f t="shared" si="28"/>
        <v>1794</v>
      </c>
      <c r="M927" s="70">
        <v>89.199999999998596</v>
      </c>
    </row>
    <row r="928" spans="5:13" x14ac:dyDescent="0.3">
      <c r="E928" s="70">
        <v>898</v>
      </c>
      <c r="F928" s="70">
        <f t="shared" si="27"/>
        <v>4490</v>
      </c>
      <c r="G928" s="70">
        <v>89.600000000000804</v>
      </c>
      <c r="K928" s="70">
        <v>898</v>
      </c>
      <c r="L928" s="70">
        <f t="shared" si="28"/>
        <v>1796</v>
      </c>
      <c r="M928" s="70">
        <v>89.299999999998604</v>
      </c>
    </row>
    <row r="929" spans="5:13" x14ac:dyDescent="0.3">
      <c r="E929" s="70">
        <v>899</v>
      </c>
      <c r="F929" s="70">
        <f t="shared" ref="F929:F992" si="29">+F928+$F$27</f>
        <v>4495</v>
      </c>
      <c r="G929" s="70">
        <v>89.700000000000799</v>
      </c>
      <c r="K929" s="70">
        <v>899</v>
      </c>
      <c r="L929" s="70">
        <f t="shared" ref="L929:L992" si="30">+L928+$L$27</f>
        <v>1798</v>
      </c>
      <c r="M929" s="70">
        <v>89.399999999998599</v>
      </c>
    </row>
    <row r="930" spans="5:13" x14ac:dyDescent="0.3">
      <c r="E930" s="70">
        <v>900</v>
      </c>
      <c r="F930" s="70">
        <f t="shared" si="29"/>
        <v>4500</v>
      </c>
      <c r="G930" s="70">
        <v>89.800000000000793</v>
      </c>
      <c r="K930" s="70">
        <v>900</v>
      </c>
      <c r="L930" s="70">
        <f t="shared" si="30"/>
        <v>1800</v>
      </c>
      <c r="M930" s="70">
        <v>89.499999999998593</v>
      </c>
    </row>
    <row r="931" spans="5:13" x14ac:dyDescent="0.3">
      <c r="E931" s="70">
        <v>901</v>
      </c>
      <c r="F931" s="70">
        <f t="shared" si="29"/>
        <v>4505</v>
      </c>
      <c r="G931" s="70">
        <v>89.900000000000801</v>
      </c>
      <c r="K931" s="70">
        <v>901</v>
      </c>
      <c r="L931" s="70">
        <f t="shared" si="30"/>
        <v>1802</v>
      </c>
      <c r="M931" s="70">
        <v>89.599999999998602</v>
      </c>
    </row>
    <row r="932" spans="5:13" x14ac:dyDescent="0.3">
      <c r="E932" s="70">
        <v>902</v>
      </c>
      <c r="F932" s="70">
        <f t="shared" si="29"/>
        <v>4510</v>
      </c>
      <c r="G932" s="70">
        <v>90.000000000000796</v>
      </c>
      <c r="K932" s="70">
        <v>902</v>
      </c>
      <c r="L932" s="70">
        <f t="shared" si="30"/>
        <v>1804</v>
      </c>
      <c r="M932" s="70">
        <v>89.699999999998596</v>
      </c>
    </row>
    <row r="933" spans="5:13" x14ac:dyDescent="0.3">
      <c r="E933" s="70">
        <v>903</v>
      </c>
      <c r="F933" s="70">
        <f t="shared" si="29"/>
        <v>4515</v>
      </c>
      <c r="G933" s="70">
        <v>90.100000000000804</v>
      </c>
      <c r="K933" s="70">
        <v>903</v>
      </c>
      <c r="L933" s="70">
        <f t="shared" si="30"/>
        <v>1806</v>
      </c>
      <c r="M933" s="70">
        <v>89.799999999998604</v>
      </c>
    </row>
    <row r="934" spans="5:13" x14ac:dyDescent="0.3">
      <c r="E934" s="70">
        <v>904</v>
      </c>
      <c r="F934" s="70">
        <f t="shared" si="29"/>
        <v>4520</v>
      </c>
      <c r="G934" s="70">
        <v>90.200000000000799</v>
      </c>
      <c r="K934" s="70">
        <v>904</v>
      </c>
      <c r="L934" s="70">
        <f t="shared" si="30"/>
        <v>1808</v>
      </c>
      <c r="M934" s="70">
        <v>89.899999999998599</v>
      </c>
    </row>
    <row r="935" spans="5:13" x14ac:dyDescent="0.3">
      <c r="E935" s="70">
        <v>905</v>
      </c>
      <c r="F935" s="70">
        <f t="shared" si="29"/>
        <v>4525</v>
      </c>
      <c r="G935" s="70">
        <v>90.300000000000793</v>
      </c>
      <c r="K935" s="70">
        <v>905</v>
      </c>
      <c r="L935" s="70">
        <f t="shared" si="30"/>
        <v>1810</v>
      </c>
      <c r="M935" s="70">
        <v>89.999999999998593</v>
      </c>
    </row>
    <row r="936" spans="5:13" x14ac:dyDescent="0.3">
      <c r="E936" s="70">
        <v>906</v>
      </c>
      <c r="F936" s="70">
        <f t="shared" si="29"/>
        <v>4530</v>
      </c>
      <c r="G936" s="70">
        <v>90.400000000000801</v>
      </c>
      <c r="K936" s="70">
        <v>906</v>
      </c>
      <c r="L936" s="70">
        <f t="shared" si="30"/>
        <v>1812</v>
      </c>
      <c r="M936" s="70">
        <v>90.099999999998602</v>
      </c>
    </row>
    <row r="937" spans="5:13" x14ac:dyDescent="0.3">
      <c r="E937" s="70">
        <v>907</v>
      </c>
      <c r="F937" s="70">
        <f t="shared" si="29"/>
        <v>4535</v>
      </c>
      <c r="G937" s="70">
        <v>90.500000000000796</v>
      </c>
      <c r="K937" s="70">
        <v>907</v>
      </c>
      <c r="L937" s="70">
        <f t="shared" si="30"/>
        <v>1814</v>
      </c>
      <c r="M937" s="70">
        <v>90.199999999998596</v>
      </c>
    </row>
    <row r="938" spans="5:13" x14ac:dyDescent="0.3">
      <c r="E938" s="70">
        <v>908</v>
      </c>
      <c r="F938" s="70">
        <f t="shared" si="29"/>
        <v>4540</v>
      </c>
      <c r="G938" s="70">
        <v>90.600000000000804</v>
      </c>
      <c r="K938" s="70">
        <v>908</v>
      </c>
      <c r="L938" s="70">
        <f t="shared" si="30"/>
        <v>1816</v>
      </c>
      <c r="M938" s="70">
        <v>90.299999999998604</v>
      </c>
    </row>
    <row r="939" spans="5:13" x14ac:dyDescent="0.3">
      <c r="E939" s="70">
        <v>909</v>
      </c>
      <c r="F939" s="70">
        <f t="shared" si="29"/>
        <v>4545</v>
      </c>
      <c r="G939" s="70">
        <v>90.700000000000799</v>
      </c>
      <c r="K939" s="70">
        <v>909</v>
      </c>
      <c r="L939" s="70">
        <f t="shared" si="30"/>
        <v>1818</v>
      </c>
      <c r="M939" s="70">
        <v>90.399999999998599</v>
      </c>
    </row>
    <row r="940" spans="5:13" x14ac:dyDescent="0.3">
      <c r="E940" s="70">
        <v>910</v>
      </c>
      <c r="F940" s="70">
        <f t="shared" si="29"/>
        <v>4550</v>
      </c>
      <c r="G940" s="70">
        <v>90.800000000000793</v>
      </c>
      <c r="K940" s="70">
        <v>910</v>
      </c>
      <c r="L940" s="70">
        <f t="shared" si="30"/>
        <v>1820</v>
      </c>
      <c r="M940" s="70">
        <v>90.499999999998593</v>
      </c>
    </row>
    <row r="941" spans="5:13" x14ac:dyDescent="0.3">
      <c r="E941" s="70">
        <v>911</v>
      </c>
      <c r="F941" s="70">
        <f t="shared" si="29"/>
        <v>4555</v>
      </c>
      <c r="G941" s="70">
        <v>90.900000000000801</v>
      </c>
      <c r="K941" s="70">
        <v>911</v>
      </c>
      <c r="L941" s="70">
        <f t="shared" si="30"/>
        <v>1822</v>
      </c>
      <c r="M941" s="70">
        <v>90.599999999998502</v>
      </c>
    </row>
    <row r="942" spans="5:13" x14ac:dyDescent="0.3">
      <c r="E942" s="70">
        <v>912</v>
      </c>
      <c r="F942" s="70">
        <f t="shared" si="29"/>
        <v>4560</v>
      </c>
      <c r="G942" s="70">
        <v>91.000000000000796</v>
      </c>
      <c r="K942" s="70">
        <v>912</v>
      </c>
      <c r="L942" s="70">
        <f t="shared" si="30"/>
        <v>1824</v>
      </c>
      <c r="M942" s="70">
        <v>90.699999999998496</v>
      </c>
    </row>
    <row r="943" spans="5:13" x14ac:dyDescent="0.3">
      <c r="E943" s="70">
        <v>913</v>
      </c>
      <c r="F943" s="70">
        <f t="shared" si="29"/>
        <v>4565</v>
      </c>
      <c r="G943" s="70">
        <v>91.100000000000804</v>
      </c>
      <c r="K943" s="70">
        <v>913</v>
      </c>
      <c r="L943" s="70">
        <f t="shared" si="30"/>
        <v>1826</v>
      </c>
      <c r="M943" s="70">
        <v>90.799999999998505</v>
      </c>
    </row>
    <row r="944" spans="5:13" x14ac:dyDescent="0.3">
      <c r="E944" s="70">
        <v>914</v>
      </c>
      <c r="F944" s="70">
        <f t="shared" si="29"/>
        <v>4570</v>
      </c>
      <c r="G944" s="70">
        <v>91.200000000000799</v>
      </c>
      <c r="K944" s="70">
        <v>914</v>
      </c>
      <c r="L944" s="70">
        <f t="shared" si="30"/>
        <v>1828</v>
      </c>
      <c r="M944" s="70">
        <v>90.899999999998499</v>
      </c>
    </row>
    <row r="945" spans="5:13" x14ac:dyDescent="0.3">
      <c r="E945" s="70">
        <v>915</v>
      </c>
      <c r="F945" s="70">
        <f t="shared" si="29"/>
        <v>4575</v>
      </c>
      <c r="G945" s="70">
        <v>91.300000000000793</v>
      </c>
      <c r="K945" s="70">
        <v>915</v>
      </c>
      <c r="L945" s="70">
        <f t="shared" si="30"/>
        <v>1830</v>
      </c>
      <c r="M945" s="70">
        <v>90.999999999998494</v>
      </c>
    </row>
    <row r="946" spans="5:13" x14ac:dyDescent="0.3">
      <c r="E946" s="70">
        <v>916</v>
      </c>
      <c r="F946" s="70">
        <f t="shared" si="29"/>
        <v>4580</v>
      </c>
      <c r="G946" s="70">
        <v>91.400000000000801</v>
      </c>
      <c r="K946" s="70">
        <v>916</v>
      </c>
      <c r="L946" s="70">
        <f t="shared" si="30"/>
        <v>1832</v>
      </c>
      <c r="M946" s="70">
        <v>91.099999999998502</v>
      </c>
    </row>
    <row r="947" spans="5:13" x14ac:dyDescent="0.3">
      <c r="E947" s="70">
        <v>917</v>
      </c>
      <c r="F947" s="70">
        <f t="shared" si="29"/>
        <v>4585</v>
      </c>
      <c r="G947" s="70">
        <v>91.500000000000796</v>
      </c>
      <c r="K947" s="70">
        <v>917</v>
      </c>
      <c r="L947" s="70">
        <f t="shared" si="30"/>
        <v>1834</v>
      </c>
      <c r="M947" s="70">
        <v>91.199999999998496</v>
      </c>
    </row>
    <row r="948" spans="5:13" x14ac:dyDescent="0.3">
      <c r="E948" s="70">
        <v>918</v>
      </c>
      <c r="F948" s="70">
        <f t="shared" si="29"/>
        <v>4590</v>
      </c>
      <c r="G948" s="70">
        <v>91.600000000000804</v>
      </c>
      <c r="K948" s="70">
        <v>918</v>
      </c>
      <c r="L948" s="70">
        <f t="shared" si="30"/>
        <v>1836</v>
      </c>
      <c r="M948" s="70">
        <v>91.299999999998505</v>
      </c>
    </row>
    <row r="949" spans="5:13" x14ac:dyDescent="0.3">
      <c r="E949" s="70">
        <v>919</v>
      </c>
      <c r="F949" s="70">
        <f t="shared" si="29"/>
        <v>4595</v>
      </c>
      <c r="G949" s="70">
        <v>91.700000000000799</v>
      </c>
      <c r="K949" s="70">
        <v>919</v>
      </c>
      <c r="L949" s="70">
        <f t="shared" si="30"/>
        <v>1838</v>
      </c>
      <c r="M949" s="70">
        <v>91.399999999998499</v>
      </c>
    </row>
    <row r="950" spans="5:13" x14ac:dyDescent="0.3">
      <c r="E950" s="70">
        <v>920</v>
      </c>
      <c r="F950" s="70">
        <f t="shared" si="29"/>
        <v>4600</v>
      </c>
      <c r="G950" s="70">
        <v>91.800000000000793</v>
      </c>
      <c r="K950" s="70">
        <v>920</v>
      </c>
      <c r="L950" s="70">
        <f t="shared" si="30"/>
        <v>1840</v>
      </c>
      <c r="M950" s="70">
        <v>91.499999999998494</v>
      </c>
    </row>
    <row r="951" spans="5:13" x14ac:dyDescent="0.3">
      <c r="E951" s="70">
        <v>921</v>
      </c>
      <c r="F951" s="70">
        <f t="shared" si="29"/>
        <v>4605</v>
      </c>
      <c r="G951" s="70">
        <v>91.900000000000801</v>
      </c>
      <c r="K951" s="70">
        <v>921</v>
      </c>
      <c r="L951" s="70">
        <f t="shared" si="30"/>
        <v>1842</v>
      </c>
      <c r="M951" s="70">
        <v>91.599999999998502</v>
      </c>
    </row>
    <row r="952" spans="5:13" x14ac:dyDescent="0.3">
      <c r="E952" s="70">
        <v>922</v>
      </c>
      <c r="F952" s="70">
        <f t="shared" si="29"/>
        <v>4610</v>
      </c>
      <c r="G952" s="70">
        <v>92.000000000000796</v>
      </c>
      <c r="K952" s="70">
        <v>922</v>
      </c>
      <c r="L952" s="70">
        <f t="shared" si="30"/>
        <v>1844</v>
      </c>
      <c r="M952" s="70">
        <v>91.699999999998496</v>
      </c>
    </row>
    <row r="953" spans="5:13" x14ac:dyDescent="0.3">
      <c r="E953" s="70">
        <v>923</v>
      </c>
      <c r="F953" s="70">
        <f t="shared" si="29"/>
        <v>4615</v>
      </c>
      <c r="G953" s="70">
        <v>92.100000000000804</v>
      </c>
      <c r="K953" s="70">
        <v>923</v>
      </c>
      <c r="L953" s="70">
        <f t="shared" si="30"/>
        <v>1846</v>
      </c>
      <c r="M953" s="70">
        <v>91.799999999998505</v>
      </c>
    </row>
    <row r="954" spans="5:13" x14ac:dyDescent="0.3">
      <c r="E954" s="70">
        <v>924</v>
      </c>
      <c r="F954" s="70">
        <f t="shared" si="29"/>
        <v>4620</v>
      </c>
      <c r="G954" s="70">
        <v>92.200000000000799</v>
      </c>
      <c r="K954" s="70">
        <v>924</v>
      </c>
      <c r="L954" s="70">
        <f t="shared" si="30"/>
        <v>1848</v>
      </c>
      <c r="M954" s="70">
        <v>91.899999999998499</v>
      </c>
    </row>
    <row r="955" spans="5:13" x14ac:dyDescent="0.3">
      <c r="E955" s="70">
        <v>925</v>
      </c>
      <c r="F955" s="70">
        <f t="shared" si="29"/>
        <v>4625</v>
      </c>
      <c r="G955" s="70">
        <v>92.300000000000793</v>
      </c>
      <c r="K955" s="70">
        <v>925</v>
      </c>
      <c r="L955" s="70">
        <f t="shared" si="30"/>
        <v>1850</v>
      </c>
      <c r="M955" s="70">
        <v>91.999999999998494</v>
      </c>
    </row>
    <row r="956" spans="5:13" x14ac:dyDescent="0.3">
      <c r="E956" s="70">
        <v>926</v>
      </c>
      <c r="F956" s="70">
        <f t="shared" si="29"/>
        <v>4630</v>
      </c>
      <c r="G956" s="70">
        <v>92.400000000000801</v>
      </c>
      <c r="K956" s="70">
        <v>926</v>
      </c>
      <c r="L956" s="70">
        <f t="shared" si="30"/>
        <v>1852</v>
      </c>
      <c r="M956" s="70">
        <v>92.099999999998502</v>
      </c>
    </row>
    <row r="957" spans="5:13" x14ac:dyDescent="0.3">
      <c r="E957" s="70">
        <v>927</v>
      </c>
      <c r="F957" s="70">
        <f t="shared" si="29"/>
        <v>4635</v>
      </c>
      <c r="G957" s="70">
        <v>92.500000000000796</v>
      </c>
      <c r="K957" s="70">
        <v>927</v>
      </c>
      <c r="L957" s="70">
        <f t="shared" si="30"/>
        <v>1854</v>
      </c>
      <c r="M957" s="70">
        <v>92.199999999998496</v>
      </c>
    </row>
    <row r="958" spans="5:13" x14ac:dyDescent="0.3">
      <c r="E958" s="70">
        <v>928</v>
      </c>
      <c r="F958" s="70">
        <f t="shared" si="29"/>
        <v>4640</v>
      </c>
      <c r="G958" s="70">
        <v>92.600000000000804</v>
      </c>
      <c r="K958" s="70">
        <v>928</v>
      </c>
      <c r="L958" s="70">
        <f t="shared" si="30"/>
        <v>1856</v>
      </c>
      <c r="M958" s="70">
        <v>92.299999999998505</v>
      </c>
    </row>
    <row r="959" spans="5:13" x14ac:dyDescent="0.3">
      <c r="E959" s="70">
        <v>929</v>
      </c>
      <c r="F959" s="70">
        <f t="shared" si="29"/>
        <v>4645</v>
      </c>
      <c r="G959" s="70">
        <v>92.700000000000799</v>
      </c>
      <c r="K959" s="70">
        <v>929</v>
      </c>
      <c r="L959" s="70">
        <f t="shared" si="30"/>
        <v>1858</v>
      </c>
      <c r="M959" s="70">
        <v>92.399999999998499</v>
      </c>
    </row>
    <row r="960" spans="5:13" x14ac:dyDescent="0.3">
      <c r="E960" s="70">
        <v>930</v>
      </c>
      <c r="F960" s="70">
        <f t="shared" si="29"/>
        <v>4650</v>
      </c>
      <c r="G960" s="70">
        <v>92.800000000000793</v>
      </c>
      <c r="K960" s="70">
        <v>930</v>
      </c>
      <c r="L960" s="70">
        <f t="shared" si="30"/>
        <v>1860</v>
      </c>
      <c r="M960" s="70">
        <v>92.499999999998494</v>
      </c>
    </row>
    <row r="961" spans="5:13" x14ac:dyDescent="0.3">
      <c r="E961" s="70">
        <v>931</v>
      </c>
      <c r="F961" s="70">
        <f t="shared" si="29"/>
        <v>4655</v>
      </c>
      <c r="G961" s="70">
        <v>92.900000000000801</v>
      </c>
      <c r="K961" s="70">
        <v>931</v>
      </c>
      <c r="L961" s="70">
        <f t="shared" si="30"/>
        <v>1862</v>
      </c>
      <c r="M961" s="70">
        <v>92.599999999998502</v>
      </c>
    </row>
    <row r="962" spans="5:13" x14ac:dyDescent="0.3">
      <c r="E962" s="70">
        <v>932</v>
      </c>
      <c r="F962" s="70">
        <f t="shared" si="29"/>
        <v>4660</v>
      </c>
      <c r="G962" s="70">
        <v>93.000000000000796</v>
      </c>
      <c r="K962" s="70">
        <v>932</v>
      </c>
      <c r="L962" s="70">
        <f t="shared" si="30"/>
        <v>1864</v>
      </c>
      <c r="M962" s="70">
        <v>92.699999999998496</v>
      </c>
    </row>
    <row r="963" spans="5:13" x14ac:dyDescent="0.3">
      <c r="E963" s="70">
        <v>933</v>
      </c>
      <c r="F963" s="70">
        <f t="shared" si="29"/>
        <v>4665</v>
      </c>
      <c r="G963" s="70">
        <v>93.100000000000804</v>
      </c>
      <c r="K963" s="70">
        <v>933</v>
      </c>
      <c r="L963" s="70">
        <f t="shared" si="30"/>
        <v>1866</v>
      </c>
      <c r="M963" s="70">
        <v>92.799999999998505</v>
      </c>
    </row>
    <row r="964" spans="5:13" x14ac:dyDescent="0.3">
      <c r="E964" s="70">
        <v>934</v>
      </c>
      <c r="F964" s="70">
        <f t="shared" si="29"/>
        <v>4670</v>
      </c>
      <c r="G964" s="70">
        <v>93.200000000000799</v>
      </c>
      <c r="K964" s="70">
        <v>934</v>
      </c>
      <c r="L964" s="70">
        <f t="shared" si="30"/>
        <v>1868</v>
      </c>
      <c r="M964" s="70">
        <v>92.899999999998499</v>
      </c>
    </row>
    <row r="965" spans="5:13" x14ac:dyDescent="0.3">
      <c r="E965" s="70">
        <v>935</v>
      </c>
      <c r="F965" s="70">
        <f t="shared" si="29"/>
        <v>4675</v>
      </c>
      <c r="G965" s="70">
        <v>93.300000000000793</v>
      </c>
      <c r="K965" s="70">
        <v>935</v>
      </c>
      <c r="L965" s="70">
        <f t="shared" si="30"/>
        <v>1870</v>
      </c>
      <c r="M965" s="70">
        <v>92.999999999998494</v>
      </c>
    </row>
    <row r="966" spans="5:13" x14ac:dyDescent="0.3">
      <c r="E966" s="70">
        <v>936</v>
      </c>
      <c r="F966" s="70">
        <f t="shared" si="29"/>
        <v>4680</v>
      </c>
      <c r="G966" s="70">
        <v>93.400000000000801</v>
      </c>
      <c r="K966" s="70">
        <v>936</v>
      </c>
      <c r="L966" s="70">
        <f t="shared" si="30"/>
        <v>1872</v>
      </c>
      <c r="M966" s="70">
        <v>93.099999999998502</v>
      </c>
    </row>
    <row r="967" spans="5:13" x14ac:dyDescent="0.3">
      <c r="E967" s="70">
        <v>937</v>
      </c>
      <c r="F967" s="70">
        <f t="shared" si="29"/>
        <v>4685</v>
      </c>
      <c r="G967" s="70">
        <v>93.500000000000796</v>
      </c>
      <c r="K967" s="70">
        <v>937</v>
      </c>
      <c r="L967" s="70">
        <f t="shared" si="30"/>
        <v>1874</v>
      </c>
      <c r="M967" s="70">
        <v>93.199999999998496</v>
      </c>
    </row>
    <row r="968" spans="5:13" x14ac:dyDescent="0.3">
      <c r="E968" s="70">
        <v>938</v>
      </c>
      <c r="F968" s="70">
        <f t="shared" si="29"/>
        <v>4690</v>
      </c>
      <c r="G968" s="70">
        <v>93.600000000000804</v>
      </c>
      <c r="K968" s="70">
        <v>938</v>
      </c>
      <c r="L968" s="70">
        <f t="shared" si="30"/>
        <v>1876</v>
      </c>
      <c r="M968" s="70">
        <v>93.299999999998505</v>
      </c>
    </row>
    <row r="969" spans="5:13" x14ac:dyDescent="0.3">
      <c r="E969" s="70">
        <v>939</v>
      </c>
      <c r="F969" s="70">
        <f t="shared" si="29"/>
        <v>4695</v>
      </c>
      <c r="G969" s="70">
        <v>93.700000000000799</v>
      </c>
      <c r="K969" s="70">
        <v>939</v>
      </c>
      <c r="L969" s="70">
        <f t="shared" si="30"/>
        <v>1878</v>
      </c>
      <c r="M969" s="70">
        <v>93.399999999998499</v>
      </c>
    </row>
    <row r="970" spans="5:13" x14ac:dyDescent="0.3">
      <c r="E970" s="70">
        <v>940</v>
      </c>
      <c r="F970" s="70">
        <f t="shared" si="29"/>
        <v>4700</v>
      </c>
      <c r="G970" s="70">
        <v>93.800000000000793</v>
      </c>
      <c r="K970" s="70">
        <v>940</v>
      </c>
      <c r="L970" s="70">
        <f t="shared" si="30"/>
        <v>1880</v>
      </c>
      <c r="M970" s="70">
        <v>93.499999999998494</v>
      </c>
    </row>
    <row r="971" spans="5:13" x14ac:dyDescent="0.3">
      <c r="E971" s="70">
        <v>941</v>
      </c>
      <c r="F971" s="70">
        <f t="shared" si="29"/>
        <v>4705</v>
      </c>
      <c r="G971" s="70">
        <v>93.900000000000801</v>
      </c>
      <c r="K971" s="70">
        <v>941</v>
      </c>
      <c r="L971" s="70">
        <f t="shared" si="30"/>
        <v>1882</v>
      </c>
      <c r="M971" s="70">
        <v>93.599999999998502</v>
      </c>
    </row>
    <row r="972" spans="5:13" x14ac:dyDescent="0.3">
      <c r="E972" s="70">
        <v>942</v>
      </c>
      <c r="F972" s="70">
        <f t="shared" si="29"/>
        <v>4710</v>
      </c>
      <c r="G972" s="70">
        <v>94.000000000000796</v>
      </c>
      <c r="K972" s="70">
        <v>942</v>
      </c>
      <c r="L972" s="70">
        <f t="shared" si="30"/>
        <v>1884</v>
      </c>
      <c r="M972" s="70">
        <v>93.699999999998496</v>
      </c>
    </row>
    <row r="973" spans="5:13" x14ac:dyDescent="0.3">
      <c r="E973" s="70">
        <v>943</v>
      </c>
      <c r="F973" s="70">
        <f t="shared" si="29"/>
        <v>4715</v>
      </c>
      <c r="G973" s="70">
        <v>94.100000000000804</v>
      </c>
      <c r="K973" s="70">
        <v>943</v>
      </c>
      <c r="L973" s="70">
        <f t="shared" si="30"/>
        <v>1886</v>
      </c>
      <c r="M973" s="70">
        <v>93.799999999998505</v>
      </c>
    </row>
    <row r="974" spans="5:13" x14ac:dyDescent="0.3">
      <c r="E974" s="70">
        <v>944</v>
      </c>
      <c r="F974" s="70">
        <f t="shared" si="29"/>
        <v>4720</v>
      </c>
      <c r="G974" s="70">
        <v>94.200000000000799</v>
      </c>
      <c r="K974" s="70">
        <v>944</v>
      </c>
      <c r="L974" s="70">
        <f t="shared" si="30"/>
        <v>1888</v>
      </c>
      <c r="M974" s="70">
        <v>93.899999999998499</v>
      </c>
    </row>
    <row r="975" spans="5:13" x14ac:dyDescent="0.3">
      <c r="E975" s="70">
        <v>945</v>
      </c>
      <c r="F975" s="70">
        <f t="shared" si="29"/>
        <v>4725</v>
      </c>
      <c r="G975" s="70">
        <v>94.300000000000793</v>
      </c>
      <c r="K975" s="70">
        <v>945</v>
      </c>
      <c r="L975" s="70">
        <f t="shared" si="30"/>
        <v>1890</v>
      </c>
      <c r="M975" s="70">
        <v>93.999999999998494</v>
      </c>
    </row>
    <row r="976" spans="5:13" x14ac:dyDescent="0.3">
      <c r="E976" s="70">
        <v>946</v>
      </c>
      <c r="F976" s="70">
        <f t="shared" si="29"/>
        <v>4730</v>
      </c>
      <c r="G976" s="70">
        <v>94.400000000000901</v>
      </c>
      <c r="K976" s="70">
        <v>946</v>
      </c>
      <c r="L976" s="70">
        <f t="shared" si="30"/>
        <v>1892</v>
      </c>
      <c r="M976" s="70">
        <v>94.099999999998502</v>
      </c>
    </row>
    <row r="977" spans="5:13" x14ac:dyDescent="0.3">
      <c r="E977" s="70">
        <v>947</v>
      </c>
      <c r="F977" s="70">
        <f t="shared" si="29"/>
        <v>4735</v>
      </c>
      <c r="G977" s="70">
        <v>94.500000000000796</v>
      </c>
      <c r="K977" s="70">
        <v>947</v>
      </c>
      <c r="L977" s="70">
        <f t="shared" si="30"/>
        <v>1894</v>
      </c>
      <c r="M977" s="70">
        <v>94.199999999998496</v>
      </c>
    </row>
    <row r="978" spans="5:13" x14ac:dyDescent="0.3">
      <c r="E978" s="70">
        <v>948</v>
      </c>
      <c r="F978" s="70">
        <f t="shared" si="29"/>
        <v>4740</v>
      </c>
      <c r="G978" s="70">
        <v>94.600000000000804</v>
      </c>
      <c r="K978" s="70">
        <v>948</v>
      </c>
      <c r="L978" s="70">
        <f t="shared" si="30"/>
        <v>1896</v>
      </c>
      <c r="M978" s="70">
        <v>94.299999999998505</v>
      </c>
    </row>
    <row r="979" spans="5:13" x14ac:dyDescent="0.3">
      <c r="E979" s="70">
        <v>949</v>
      </c>
      <c r="F979" s="70">
        <f t="shared" si="29"/>
        <v>4745</v>
      </c>
      <c r="G979" s="70">
        <v>94.700000000000898</v>
      </c>
      <c r="K979" s="70">
        <v>949</v>
      </c>
      <c r="L979" s="70">
        <f t="shared" si="30"/>
        <v>1898</v>
      </c>
      <c r="M979" s="70">
        <v>94.399999999998499</v>
      </c>
    </row>
    <row r="980" spans="5:13" x14ac:dyDescent="0.3">
      <c r="E980" s="70">
        <v>950</v>
      </c>
      <c r="F980" s="70">
        <f t="shared" si="29"/>
        <v>4750</v>
      </c>
      <c r="G980" s="70">
        <v>94.800000000000907</v>
      </c>
      <c r="K980" s="70">
        <v>950</v>
      </c>
      <c r="L980" s="70">
        <f t="shared" si="30"/>
        <v>1900</v>
      </c>
      <c r="M980" s="70">
        <v>94.499999999998494</v>
      </c>
    </row>
    <row r="981" spans="5:13" x14ac:dyDescent="0.3">
      <c r="E981" s="70">
        <v>951</v>
      </c>
      <c r="F981" s="70">
        <f t="shared" si="29"/>
        <v>4755</v>
      </c>
      <c r="G981" s="70">
        <v>94.900000000000901</v>
      </c>
      <c r="K981" s="70">
        <v>951</v>
      </c>
      <c r="L981" s="70">
        <f t="shared" si="30"/>
        <v>1902</v>
      </c>
      <c r="M981" s="70">
        <v>94.599999999998502</v>
      </c>
    </row>
    <row r="982" spans="5:13" x14ac:dyDescent="0.3">
      <c r="E982" s="70">
        <v>952</v>
      </c>
      <c r="F982" s="70">
        <f t="shared" si="29"/>
        <v>4760</v>
      </c>
      <c r="G982" s="70">
        <v>95.000000000000796</v>
      </c>
      <c r="K982" s="70">
        <v>952</v>
      </c>
      <c r="L982" s="70">
        <f t="shared" si="30"/>
        <v>1904</v>
      </c>
      <c r="M982" s="70">
        <v>94.699999999998496</v>
      </c>
    </row>
    <row r="983" spans="5:13" x14ac:dyDescent="0.3">
      <c r="E983" s="70">
        <v>953</v>
      </c>
      <c r="F983" s="70">
        <f t="shared" si="29"/>
        <v>4765</v>
      </c>
      <c r="G983" s="70">
        <v>95.100000000000904</v>
      </c>
      <c r="K983" s="70">
        <v>953</v>
      </c>
      <c r="L983" s="70">
        <f t="shared" si="30"/>
        <v>1906</v>
      </c>
      <c r="M983" s="70">
        <v>94.799999999998505</v>
      </c>
    </row>
    <row r="984" spans="5:13" x14ac:dyDescent="0.3">
      <c r="E984" s="70">
        <v>954</v>
      </c>
      <c r="F984" s="70">
        <f t="shared" si="29"/>
        <v>4770</v>
      </c>
      <c r="G984" s="70">
        <v>95.200000000000898</v>
      </c>
      <c r="K984" s="70">
        <v>954</v>
      </c>
      <c r="L984" s="70">
        <f t="shared" si="30"/>
        <v>1908</v>
      </c>
      <c r="M984" s="70">
        <v>94.899999999998499</v>
      </c>
    </row>
    <row r="985" spans="5:13" x14ac:dyDescent="0.3">
      <c r="E985" s="70">
        <v>955</v>
      </c>
      <c r="F985" s="70">
        <f t="shared" si="29"/>
        <v>4775</v>
      </c>
      <c r="G985" s="70">
        <v>95.300000000000907</v>
      </c>
      <c r="K985" s="70">
        <v>955</v>
      </c>
      <c r="L985" s="70">
        <f t="shared" si="30"/>
        <v>1910</v>
      </c>
      <c r="M985" s="70">
        <v>94.999999999998494</v>
      </c>
    </row>
    <row r="986" spans="5:13" x14ac:dyDescent="0.3">
      <c r="E986" s="70">
        <v>956</v>
      </c>
      <c r="F986" s="70">
        <f t="shared" si="29"/>
        <v>4780</v>
      </c>
      <c r="G986" s="70">
        <v>95.400000000000901</v>
      </c>
      <c r="K986" s="70">
        <v>956</v>
      </c>
      <c r="L986" s="70">
        <f t="shared" si="30"/>
        <v>1912</v>
      </c>
      <c r="M986" s="70">
        <v>95.099999999998502</v>
      </c>
    </row>
    <row r="987" spans="5:13" x14ac:dyDescent="0.3">
      <c r="E987" s="70">
        <v>957</v>
      </c>
      <c r="F987" s="70">
        <f t="shared" si="29"/>
        <v>4785</v>
      </c>
      <c r="G987" s="70">
        <v>95.500000000000895</v>
      </c>
      <c r="K987" s="70">
        <v>957</v>
      </c>
      <c r="L987" s="70">
        <f t="shared" si="30"/>
        <v>1914</v>
      </c>
      <c r="M987" s="70">
        <v>95.199999999998496</v>
      </c>
    </row>
    <row r="988" spans="5:13" x14ac:dyDescent="0.3">
      <c r="E988" s="70">
        <v>958</v>
      </c>
      <c r="F988" s="70">
        <f t="shared" si="29"/>
        <v>4790</v>
      </c>
      <c r="G988" s="70">
        <v>95.600000000000904</v>
      </c>
      <c r="K988" s="70">
        <v>958</v>
      </c>
      <c r="L988" s="70">
        <f t="shared" si="30"/>
        <v>1916</v>
      </c>
      <c r="M988" s="70">
        <v>95.299999999998505</v>
      </c>
    </row>
    <row r="989" spans="5:13" x14ac:dyDescent="0.3">
      <c r="E989" s="70">
        <v>959</v>
      </c>
      <c r="F989" s="70">
        <f t="shared" si="29"/>
        <v>4795</v>
      </c>
      <c r="G989" s="70">
        <v>95.700000000000898</v>
      </c>
      <c r="K989" s="70">
        <v>959</v>
      </c>
      <c r="L989" s="70">
        <f t="shared" si="30"/>
        <v>1918</v>
      </c>
      <c r="M989" s="70">
        <v>95.3999999999984</v>
      </c>
    </row>
    <row r="990" spans="5:13" x14ac:dyDescent="0.3">
      <c r="E990" s="70">
        <v>960</v>
      </c>
      <c r="F990" s="70">
        <f t="shared" si="29"/>
        <v>4800</v>
      </c>
      <c r="G990" s="70">
        <v>95.800000000000907</v>
      </c>
      <c r="K990" s="70">
        <v>960</v>
      </c>
      <c r="L990" s="70">
        <f t="shared" si="30"/>
        <v>1920</v>
      </c>
      <c r="M990" s="70">
        <v>95.499999999998394</v>
      </c>
    </row>
    <row r="991" spans="5:13" x14ac:dyDescent="0.3">
      <c r="E991" s="70">
        <v>961</v>
      </c>
      <c r="F991" s="70">
        <f t="shared" si="29"/>
        <v>4805</v>
      </c>
      <c r="G991" s="70">
        <v>95.900000000000901</v>
      </c>
      <c r="K991" s="70">
        <v>961</v>
      </c>
      <c r="L991" s="70">
        <f t="shared" si="30"/>
        <v>1922</v>
      </c>
      <c r="M991" s="70">
        <v>95.599999999998403</v>
      </c>
    </row>
    <row r="992" spans="5:13" x14ac:dyDescent="0.3">
      <c r="E992" s="70">
        <v>962</v>
      </c>
      <c r="F992" s="70">
        <f t="shared" si="29"/>
        <v>4810</v>
      </c>
      <c r="G992" s="70">
        <v>96.000000000000895</v>
      </c>
      <c r="K992" s="70">
        <v>962</v>
      </c>
      <c r="L992" s="70">
        <f t="shared" si="30"/>
        <v>1924</v>
      </c>
      <c r="M992" s="70">
        <v>95.699999999998397</v>
      </c>
    </row>
    <row r="993" spans="5:13" x14ac:dyDescent="0.3">
      <c r="E993" s="70">
        <v>963</v>
      </c>
      <c r="F993" s="70">
        <f t="shared" ref="F993:F1056" si="31">+F992+$F$27</f>
        <v>4815</v>
      </c>
      <c r="G993" s="70">
        <v>96.100000000000904</v>
      </c>
      <c r="K993" s="70">
        <v>963</v>
      </c>
      <c r="L993" s="70">
        <f t="shared" ref="L993:L1056" si="32">+L992+$L$27</f>
        <v>1926</v>
      </c>
      <c r="M993" s="70">
        <v>95.799999999998406</v>
      </c>
    </row>
    <row r="994" spans="5:13" x14ac:dyDescent="0.3">
      <c r="E994" s="70">
        <v>964</v>
      </c>
      <c r="F994" s="70">
        <f t="shared" si="31"/>
        <v>4820</v>
      </c>
      <c r="G994" s="70">
        <v>96.200000000000898</v>
      </c>
      <c r="K994" s="70">
        <v>964</v>
      </c>
      <c r="L994" s="70">
        <f t="shared" si="32"/>
        <v>1928</v>
      </c>
      <c r="M994" s="70">
        <v>95.8999999999984</v>
      </c>
    </row>
    <row r="995" spans="5:13" x14ac:dyDescent="0.3">
      <c r="E995" s="70">
        <v>965</v>
      </c>
      <c r="F995" s="70">
        <f t="shared" si="31"/>
        <v>4825</v>
      </c>
      <c r="G995" s="70">
        <v>96.300000000000907</v>
      </c>
      <c r="K995" s="70">
        <v>965</v>
      </c>
      <c r="L995" s="70">
        <f t="shared" si="32"/>
        <v>1930</v>
      </c>
      <c r="M995" s="70">
        <v>95.999999999998394</v>
      </c>
    </row>
    <row r="996" spans="5:13" x14ac:dyDescent="0.3">
      <c r="E996" s="70">
        <v>966</v>
      </c>
      <c r="F996" s="70">
        <f t="shared" si="31"/>
        <v>4830</v>
      </c>
      <c r="G996" s="70">
        <v>96.400000000000901</v>
      </c>
      <c r="K996" s="70">
        <v>966</v>
      </c>
      <c r="L996" s="70">
        <f t="shared" si="32"/>
        <v>1932</v>
      </c>
      <c r="M996" s="70">
        <v>96.099999999998403</v>
      </c>
    </row>
    <row r="997" spans="5:13" x14ac:dyDescent="0.3">
      <c r="E997" s="70">
        <v>967</v>
      </c>
      <c r="F997" s="70">
        <f t="shared" si="31"/>
        <v>4835</v>
      </c>
      <c r="G997" s="70">
        <v>96.500000000000895</v>
      </c>
      <c r="K997" s="70">
        <v>967</v>
      </c>
      <c r="L997" s="70">
        <f t="shared" si="32"/>
        <v>1934</v>
      </c>
      <c r="M997" s="70">
        <v>96.199999999998397</v>
      </c>
    </row>
    <row r="998" spans="5:13" x14ac:dyDescent="0.3">
      <c r="E998" s="70">
        <v>968</v>
      </c>
      <c r="F998" s="70">
        <f t="shared" si="31"/>
        <v>4840</v>
      </c>
      <c r="G998" s="70">
        <v>96.600000000000904</v>
      </c>
      <c r="K998" s="70">
        <v>968</v>
      </c>
      <c r="L998" s="70">
        <f t="shared" si="32"/>
        <v>1936</v>
      </c>
      <c r="M998" s="70">
        <v>96.299999999998406</v>
      </c>
    </row>
    <row r="999" spans="5:13" x14ac:dyDescent="0.3">
      <c r="E999" s="70">
        <v>969</v>
      </c>
      <c r="F999" s="70">
        <f t="shared" si="31"/>
        <v>4845</v>
      </c>
      <c r="G999" s="70">
        <v>96.700000000000898</v>
      </c>
      <c r="K999" s="70">
        <v>969</v>
      </c>
      <c r="L999" s="70">
        <f t="shared" si="32"/>
        <v>1938</v>
      </c>
      <c r="M999" s="70">
        <v>96.3999999999984</v>
      </c>
    </row>
    <row r="1000" spans="5:13" x14ac:dyDescent="0.3">
      <c r="E1000" s="70">
        <v>970</v>
      </c>
      <c r="F1000" s="70">
        <f t="shared" si="31"/>
        <v>4850</v>
      </c>
      <c r="G1000" s="70">
        <v>96.800000000000907</v>
      </c>
      <c r="K1000" s="70">
        <v>970</v>
      </c>
      <c r="L1000" s="70">
        <f t="shared" si="32"/>
        <v>1940</v>
      </c>
      <c r="M1000" s="70">
        <v>96.499999999998394</v>
      </c>
    </row>
    <row r="1001" spans="5:13" x14ac:dyDescent="0.3">
      <c r="E1001" s="70">
        <v>971</v>
      </c>
      <c r="F1001" s="70">
        <f t="shared" si="31"/>
        <v>4855</v>
      </c>
      <c r="G1001" s="70">
        <v>96.900000000000901</v>
      </c>
      <c r="K1001" s="70">
        <v>971</v>
      </c>
      <c r="L1001" s="70">
        <f t="shared" si="32"/>
        <v>1942</v>
      </c>
      <c r="M1001" s="70">
        <v>96.599999999998403</v>
      </c>
    </row>
    <row r="1002" spans="5:13" x14ac:dyDescent="0.3">
      <c r="E1002" s="70">
        <v>972</v>
      </c>
      <c r="F1002" s="70">
        <f t="shared" si="31"/>
        <v>4860</v>
      </c>
      <c r="G1002" s="70">
        <v>97.000000000000895</v>
      </c>
      <c r="K1002" s="70">
        <v>972</v>
      </c>
      <c r="L1002" s="70">
        <f t="shared" si="32"/>
        <v>1944</v>
      </c>
      <c r="M1002" s="70">
        <v>96.699999999998397</v>
      </c>
    </row>
    <row r="1003" spans="5:13" x14ac:dyDescent="0.3">
      <c r="E1003" s="70">
        <v>973</v>
      </c>
      <c r="F1003" s="70">
        <f t="shared" si="31"/>
        <v>4865</v>
      </c>
      <c r="G1003" s="70">
        <v>97.100000000000904</v>
      </c>
      <c r="K1003" s="70">
        <v>973</v>
      </c>
      <c r="L1003" s="70">
        <f t="shared" si="32"/>
        <v>1946</v>
      </c>
      <c r="M1003" s="70">
        <v>96.799999999998406</v>
      </c>
    </row>
    <row r="1004" spans="5:13" x14ac:dyDescent="0.3">
      <c r="E1004" s="70">
        <v>974</v>
      </c>
      <c r="F1004" s="70">
        <f t="shared" si="31"/>
        <v>4870</v>
      </c>
      <c r="G1004" s="70">
        <v>97.200000000000898</v>
      </c>
      <c r="K1004" s="70">
        <v>974</v>
      </c>
      <c r="L1004" s="70">
        <f t="shared" si="32"/>
        <v>1948</v>
      </c>
      <c r="M1004" s="70">
        <v>96.8999999999984</v>
      </c>
    </row>
    <row r="1005" spans="5:13" x14ac:dyDescent="0.3">
      <c r="E1005" s="70">
        <v>975</v>
      </c>
      <c r="F1005" s="70">
        <f t="shared" si="31"/>
        <v>4875</v>
      </c>
      <c r="G1005" s="70">
        <v>97.300000000000907</v>
      </c>
      <c r="K1005" s="70">
        <v>975</v>
      </c>
      <c r="L1005" s="70">
        <f t="shared" si="32"/>
        <v>1950</v>
      </c>
      <c r="M1005" s="70">
        <v>96.999999999998394</v>
      </c>
    </row>
    <row r="1006" spans="5:13" x14ac:dyDescent="0.3">
      <c r="E1006" s="70">
        <v>976</v>
      </c>
      <c r="F1006" s="70">
        <f t="shared" si="31"/>
        <v>4880</v>
      </c>
      <c r="G1006" s="70">
        <v>97.400000000000901</v>
      </c>
      <c r="K1006" s="70">
        <v>976</v>
      </c>
      <c r="L1006" s="70">
        <f t="shared" si="32"/>
        <v>1952</v>
      </c>
      <c r="M1006" s="70">
        <v>97.099999999998403</v>
      </c>
    </row>
    <row r="1007" spans="5:13" x14ac:dyDescent="0.3">
      <c r="E1007" s="70">
        <v>977</v>
      </c>
      <c r="F1007" s="70">
        <f t="shared" si="31"/>
        <v>4885</v>
      </c>
      <c r="G1007" s="70">
        <v>97.500000000000895</v>
      </c>
      <c r="K1007" s="70">
        <v>977</v>
      </c>
      <c r="L1007" s="70">
        <f t="shared" si="32"/>
        <v>1954</v>
      </c>
      <c r="M1007" s="70">
        <v>97.199999999998397</v>
      </c>
    </row>
    <row r="1008" spans="5:13" x14ac:dyDescent="0.3">
      <c r="E1008" s="70">
        <v>978</v>
      </c>
      <c r="F1008" s="70">
        <f t="shared" si="31"/>
        <v>4890</v>
      </c>
      <c r="G1008" s="70">
        <v>97.600000000000904</v>
      </c>
      <c r="K1008" s="70">
        <v>978</v>
      </c>
      <c r="L1008" s="70">
        <f t="shared" si="32"/>
        <v>1956</v>
      </c>
      <c r="M1008" s="70">
        <v>97.299999999998406</v>
      </c>
    </row>
    <row r="1009" spans="5:13" x14ac:dyDescent="0.3">
      <c r="E1009" s="70">
        <v>979</v>
      </c>
      <c r="F1009" s="70">
        <f t="shared" si="31"/>
        <v>4895</v>
      </c>
      <c r="G1009" s="70">
        <v>97.700000000000898</v>
      </c>
      <c r="K1009" s="70">
        <v>979</v>
      </c>
      <c r="L1009" s="70">
        <f t="shared" si="32"/>
        <v>1958</v>
      </c>
      <c r="M1009" s="70">
        <v>97.3999999999984</v>
      </c>
    </row>
    <row r="1010" spans="5:13" x14ac:dyDescent="0.3">
      <c r="E1010" s="70">
        <v>980</v>
      </c>
      <c r="F1010" s="70">
        <f t="shared" si="31"/>
        <v>4900</v>
      </c>
      <c r="G1010" s="70">
        <v>97.800000000000907</v>
      </c>
      <c r="K1010" s="70">
        <v>980</v>
      </c>
      <c r="L1010" s="70">
        <f t="shared" si="32"/>
        <v>1960</v>
      </c>
      <c r="M1010" s="70">
        <v>97.499999999998394</v>
      </c>
    </row>
    <row r="1011" spans="5:13" x14ac:dyDescent="0.3">
      <c r="E1011" s="70">
        <v>981</v>
      </c>
      <c r="F1011" s="70">
        <f t="shared" si="31"/>
        <v>4905</v>
      </c>
      <c r="G1011" s="70">
        <v>97.900000000000901</v>
      </c>
      <c r="K1011" s="70">
        <v>981</v>
      </c>
      <c r="L1011" s="70">
        <f t="shared" si="32"/>
        <v>1962</v>
      </c>
      <c r="M1011" s="70">
        <v>97.599999999998403</v>
      </c>
    </row>
    <row r="1012" spans="5:13" x14ac:dyDescent="0.3">
      <c r="E1012" s="70">
        <v>982</v>
      </c>
      <c r="F1012" s="70">
        <f t="shared" si="31"/>
        <v>4910</v>
      </c>
      <c r="G1012" s="70">
        <v>98.000000000000895</v>
      </c>
      <c r="K1012" s="70">
        <v>982</v>
      </c>
      <c r="L1012" s="70">
        <f t="shared" si="32"/>
        <v>1964</v>
      </c>
      <c r="M1012" s="70">
        <v>97.699999999998397</v>
      </c>
    </row>
    <row r="1013" spans="5:13" x14ac:dyDescent="0.3">
      <c r="E1013" s="70">
        <v>983</v>
      </c>
      <c r="F1013" s="70">
        <f t="shared" si="31"/>
        <v>4915</v>
      </c>
      <c r="G1013" s="70">
        <v>98.100000000000904</v>
      </c>
      <c r="K1013" s="70">
        <v>983</v>
      </c>
      <c r="L1013" s="70">
        <f t="shared" si="32"/>
        <v>1966</v>
      </c>
      <c r="M1013" s="70">
        <v>97.799999999998406</v>
      </c>
    </row>
    <row r="1014" spans="5:13" x14ac:dyDescent="0.3">
      <c r="E1014" s="70">
        <v>984</v>
      </c>
      <c r="F1014" s="70">
        <f t="shared" si="31"/>
        <v>4920</v>
      </c>
      <c r="G1014" s="70">
        <v>98.200000000000898</v>
      </c>
      <c r="K1014" s="70">
        <v>984</v>
      </c>
      <c r="L1014" s="70">
        <f t="shared" si="32"/>
        <v>1968</v>
      </c>
      <c r="M1014" s="70">
        <v>97.8999999999984</v>
      </c>
    </row>
    <row r="1015" spans="5:13" x14ac:dyDescent="0.3">
      <c r="E1015" s="70">
        <v>985</v>
      </c>
      <c r="F1015" s="70">
        <f t="shared" si="31"/>
        <v>4925</v>
      </c>
      <c r="G1015" s="70">
        <v>98.300000000000907</v>
      </c>
      <c r="K1015" s="70">
        <v>985</v>
      </c>
      <c r="L1015" s="70">
        <f t="shared" si="32"/>
        <v>1970</v>
      </c>
      <c r="M1015" s="70">
        <v>97.999999999998394</v>
      </c>
    </row>
    <row r="1016" spans="5:13" x14ac:dyDescent="0.3">
      <c r="E1016" s="70">
        <v>986</v>
      </c>
      <c r="F1016" s="70">
        <f t="shared" si="31"/>
        <v>4930</v>
      </c>
      <c r="G1016" s="70">
        <v>98.400000000000901</v>
      </c>
      <c r="K1016" s="70">
        <v>986</v>
      </c>
      <c r="L1016" s="70">
        <f t="shared" si="32"/>
        <v>1972</v>
      </c>
      <c r="M1016" s="70">
        <v>98.099999999998403</v>
      </c>
    </row>
    <row r="1017" spans="5:13" x14ac:dyDescent="0.3">
      <c r="E1017" s="70">
        <v>987</v>
      </c>
      <c r="F1017" s="70">
        <f t="shared" si="31"/>
        <v>4935</v>
      </c>
      <c r="G1017" s="70">
        <v>98.500000000000895</v>
      </c>
      <c r="K1017" s="70">
        <v>987</v>
      </c>
      <c r="L1017" s="70">
        <f t="shared" si="32"/>
        <v>1974</v>
      </c>
      <c r="M1017" s="70">
        <v>98.199999999998397</v>
      </c>
    </row>
    <row r="1018" spans="5:13" x14ac:dyDescent="0.3">
      <c r="E1018" s="70">
        <v>988</v>
      </c>
      <c r="F1018" s="70">
        <f t="shared" si="31"/>
        <v>4940</v>
      </c>
      <c r="G1018" s="70">
        <v>98.600000000000904</v>
      </c>
      <c r="K1018" s="70">
        <v>988</v>
      </c>
      <c r="L1018" s="70">
        <f t="shared" si="32"/>
        <v>1976</v>
      </c>
      <c r="M1018" s="70">
        <v>98.299999999998406</v>
      </c>
    </row>
    <row r="1019" spans="5:13" x14ac:dyDescent="0.3">
      <c r="E1019" s="70">
        <v>989</v>
      </c>
      <c r="F1019" s="70">
        <f t="shared" si="31"/>
        <v>4945</v>
      </c>
      <c r="G1019" s="70">
        <v>98.700000000000898</v>
      </c>
      <c r="K1019" s="70">
        <v>989</v>
      </c>
      <c r="L1019" s="70">
        <f t="shared" si="32"/>
        <v>1978</v>
      </c>
      <c r="M1019" s="70">
        <v>98.3999999999984</v>
      </c>
    </row>
    <row r="1020" spans="5:13" x14ac:dyDescent="0.3">
      <c r="E1020" s="70">
        <v>990</v>
      </c>
      <c r="F1020" s="70">
        <f t="shared" si="31"/>
        <v>4950</v>
      </c>
      <c r="G1020" s="70">
        <v>98.800000000000907</v>
      </c>
      <c r="K1020" s="70">
        <v>990</v>
      </c>
      <c r="L1020" s="70">
        <f t="shared" si="32"/>
        <v>1980</v>
      </c>
      <c r="M1020" s="70">
        <v>98.499999999998394</v>
      </c>
    </row>
    <row r="1021" spans="5:13" x14ac:dyDescent="0.3">
      <c r="E1021" s="70">
        <v>991</v>
      </c>
      <c r="F1021" s="70">
        <f t="shared" si="31"/>
        <v>4955</v>
      </c>
      <c r="G1021" s="70">
        <v>98.900000000000901</v>
      </c>
      <c r="K1021" s="70">
        <v>991</v>
      </c>
      <c r="L1021" s="70">
        <f t="shared" si="32"/>
        <v>1982</v>
      </c>
      <c r="M1021" s="70">
        <v>98.599999999998403</v>
      </c>
    </row>
    <row r="1022" spans="5:13" x14ac:dyDescent="0.3">
      <c r="E1022" s="70">
        <v>992</v>
      </c>
      <c r="F1022" s="70">
        <f t="shared" si="31"/>
        <v>4960</v>
      </c>
      <c r="G1022" s="70">
        <v>99.000000000000895</v>
      </c>
      <c r="K1022" s="70">
        <v>992</v>
      </c>
      <c r="L1022" s="70">
        <f t="shared" si="32"/>
        <v>1984</v>
      </c>
      <c r="M1022" s="70">
        <v>98.699999999998397</v>
      </c>
    </row>
    <row r="1023" spans="5:13" x14ac:dyDescent="0.3">
      <c r="E1023" s="70">
        <v>993</v>
      </c>
      <c r="F1023" s="70">
        <f t="shared" si="31"/>
        <v>4965</v>
      </c>
      <c r="G1023" s="70">
        <v>99.100000000000904</v>
      </c>
      <c r="K1023" s="70">
        <v>993</v>
      </c>
      <c r="L1023" s="70">
        <f t="shared" si="32"/>
        <v>1986</v>
      </c>
      <c r="M1023" s="70">
        <v>98.799999999998406</v>
      </c>
    </row>
    <row r="1024" spans="5:13" x14ac:dyDescent="0.3">
      <c r="E1024" s="70">
        <v>994</v>
      </c>
      <c r="F1024" s="70">
        <f t="shared" si="31"/>
        <v>4970</v>
      </c>
      <c r="G1024" s="70">
        <v>99.200000000000898</v>
      </c>
      <c r="K1024" s="70">
        <v>994</v>
      </c>
      <c r="L1024" s="70">
        <f t="shared" si="32"/>
        <v>1988</v>
      </c>
      <c r="M1024" s="70">
        <v>98.8999999999984</v>
      </c>
    </row>
    <row r="1025" spans="5:13" x14ac:dyDescent="0.3">
      <c r="E1025" s="70">
        <v>995</v>
      </c>
      <c r="F1025" s="70">
        <f t="shared" si="31"/>
        <v>4975</v>
      </c>
      <c r="G1025" s="70">
        <v>99.300000000000907</v>
      </c>
      <c r="K1025" s="70">
        <v>995</v>
      </c>
      <c r="L1025" s="70">
        <f t="shared" si="32"/>
        <v>1990</v>
      </c>
      <c r="M1025" s="70">
        <v>98.999999999998394</v>
      </c>
    </row>
    <row r="1026" spans="5:13" x14ac:dyDescent="0.3">
      <c r="E1026" s="70">
        <v>996</v>
      </c>
      <c r="F1026" s="70">
        <f t="shared" si="31"/>
        <v>4980</v>
      </c>
      <c r="G1026" s="70">
        <v>99.400000000000901</v>
      </c>
      <c r="K1026" s="70">
        <v>996</v>
      </c>
      <c r="L1026" s="70">
        <f t="shared" si="32"/>
        <v>1992</v>
      </c>
      <c r="M1026" s="70">
        <v>99.099999999998403</v>
      </c>
    </row>
    <row r="1027" spans="5:13" x14ac:dyDescent="0.3">
      <c r="E1027" s="70">
        <v>997</v>
      </c>
      <c r="F1027" s="70">
        <f t="shared" si="31"/>
        <v>4985</v>
      </c>
      <c r="G1027" s="70">
        <v>99.500000000000895</v>
      </c>
      <c r="K1027" s="70">
        <v>997</v>
      </c>
      <c r="L1027" s="70">
        <f t="shared" si="32"/>
        <v>1994</v>
      </c>
      <c r="M1027" s="70">
        <v>99.199999999998397</v>
      </c>
    </row>
    <row r="1028" spans="5:13" x14ac:dyDescent="0.3">
      <c r="E1028" s="70">
        <v>998</v>
      </c>
      <c r="F1028" s="70">
        <f t="shared" si="31"/>
        <v>4990</v>
      </c>
      <c r="G1028" s="70">
        <v>99.600000000000904</v>
      </c>
      <c r="K1028" s="70">
        <v>998</v>
      </c>
      <c r="L1028" s="70">
        <f t="shared" si="32"/>
        <v>1996</v>
      </c>
      <c r="M1028" s="70">
        <v>99.299999999998406</v>
      </c>
    </row>
    <row r="1029" spans="5:13" x14ac:dyDescent="0.3">
      <c r="E1029" s="70">
        <v>999</v>
      </c>
      <c r="F1029" s="70">
        <f t="shared" si="31"/>
        <v>4995</v>
      </c>
      <c r="G1029" s="70">
        <v>99.700000000000898</v>
      </c>
      <c r="K1029" s="70">
        <v>999</v>
      </c>
      <c r="L1029" s="70">
        <f t="shared" si="32"/>
        <v>1998</v>
      </c>
      <c r="M1029" s="70">
        <v>99.3999999999984</v>
      </c>
    </row>
    <row r="1030" spans="5:13" x14ac:dyDescent="0.3">
      <c r="E1030" s="70">
        <v>1000</v>
      </c>
      <c r="F1030" s="70">
        <f t="shared" si="31"/>
        <v>5000</v>
      </c>
      <c r="G1030" s="70">
        <v>99.800000000000907</v>
      </c>
      <c r="K1030" s="70">
        <v>1000</v>
      </c>
      <c r="L1030" s="70">
        <f t="shared" si="32"/>
        <v>2000</v>
      </c>
      <c r="M1030" s="70">
        <v>99.499999999998394</v>
      </c>
    </row>
    <row r="1031" spans="5:13" x14ac:dyDescent="0.3">
      <c r="E1031" s="70">
        <v>1001</v>
      </c>
      <c r="F1031" s="70">
        <f t="shared" si="31"/>
        <v>5005</v>
      </c>
      <c r="G1031" s="70">
        <v>99.900000000000901</v>
      </c>
      <c r="K1031" s="70">
        <v>1001</v>
      </c>
      <c r="L1031" s="70">
        <f t="shared" si="32"/>
        <v>2002</v>
      </c>
      <c r="M1031" s="70">
        <v>99.599999999998403</v>
      </c>
    </row>
    <row r="1032" spans="5:13" x14ac:dyDescent="0.3">
      <c r="E1032" s="70">
        <v>1002</v>
      </c>
      <c r="F1032" s="70">
        <f t="shared" si="31"/>
        <v>5010</v>
      </c>
      <c r="G1032" s="70">
        <v>100.00000000000099</v>
      </c>
      <c r="K1032" s="70">
        <v>1002</v>
      </c>
      <c r="L1032" s="70">
        <f t="shared" si="32"/>
        <v>2004</v>
      </c>
      <c r="M1032" s="70">
        <v>99.699999999998397</v>
      </c>
    </row>
    <row r="1033" spans="5:13" x14ac:dyDescent="0.3">
      <c r="E1033" s="70">
        <v>1003</v>
      </c>
      <c r="F1033" s="70">
        <f t="shared" si="31"/>
        <v>5015</v>
      </c>
      <c r="G1033" s="70">
        <v>100.100000000001</v>
      </c>
      <c r="K1033" s="70">
        <v>1003</v>
      </c>
      <c r="L1033" s="70">
        <f t="shared" si="32"/>
        <v>2006</v>
      </c>
      <c r="M1033" s="70">
        <v>99.799999999998406</v>
      </c>
    </row>
    <row r="1034" spans="5:13" x14ac:dyDescent="0.3">
      <c r="E1034" s="70">
        <v>1004</v>
      </c>
      <c r="F1034" s="70">
        <f t="shared" si="31"/>
        <v>5020</v>
      </c>
      <c r="G1034" s="70">
        <v>100.200000000001</v>
      </c>
      <c r="K1034" s="70">
        <v>1004</v>
      </c>
      <c r="L1034" s="70">
        <f t="shared" si="32"/>
        <v>2008</v>
      </c>
      <c r="M1034" s="70">
        <v>99.8999999999984</v>
      </c>
    </row>
    <row r="1035" spans="5:13" x14ac:dyDescent="0.3">
      <c r="E1035" s="70">
        <v>1005</v>
      </c>
      <c r="F1035" s="70">
        <f t="shared" si="31"/>
        <v>5025</v>
      </c>
      <c r="G1035" s="70">
        <v>100.30000000000101</v>
      </c>
      <c r="K1035" s="70">
        <v>1005</v>
      </c>
      <c r="L1035" s="70">
        <f t="shared" si="32"/>
        <v>2010</v>
      </c>
      <c r="M1035" s="70">
        <v>99.999999999998394</v>
      </c>
    </row>
    <row r="1036" spans="5:13" x14ac:dyDescent="0.3">
      <c r="E1036" s="70">
        <v>1006</v>
      </c>
      <c r="F1036" s="70">
        <f t="shared" si="31"/>
        <v>5030</v>
      </c>
      <c r="G1036" s="70">
        <v>100.400000000001</v>
      </c>
      <c r="K1036" s="70">
        <v>1006</v>
      </c>
      <c r="L1036" s="70">
        <f t="shared" si="32"/>
        <v>2012</v>
      </c>
      <c r="M1036" s="70">
        <v>100.099999999998</v>
      </c>
    </row>
    <row r="1037" spans="5:13" x14ac:dyDescent="0.3">
      <c r="E1037" s="70">
        <v>1007</v>
      </c>
      <c r="F1037" s="70">
        <f t="shared" si="31"/>
        <v>5035</v>
      </c>
      <c r="G1037" s="70">
        <v>100.50000000000099</v>
      </c>
      <c r="K1037" s="70">
        <v>1007</v>
      </c>
      <c r="L1037" s="70">
        <f t="shared" si="32"/>
        <v>2014</v>
      </c>
      <c r="M1037" s="70">
        <v>100.199999999998</v>
      </c>
    </row>
    <row r="1038" spans="5:13" x14ac:dyDescent="0.3">
      <c r="E1038" s="70">
        <v>1008</v>
      </c>
      <c r="F1038" s="70">
        <f t="shared" si="31"/>
        <v>5040</v>
      </c>
      <c r="G1038" s="70">
        <v>100.600000000001</v>
      </c>
      <c r="K1038" s="70">
        <v>1008</v>
      </c>
      <c r="L1038" s="70">
        <f t="shared" si="32"/>
        <v>2016</v>
      </c>
      <c r="M1038" s="70">
        <v>100.29999999999799</v>
      </c>
    </row>
    <row r="1039" spans="5:13" x14ac:dyDescent="0.3">
      <c r="E1039" s="70">
        <v>1009</v>
      </c>
      <c r="F1039" s="70">
        <f t="shared" si="31"/>
        <v>5045</v>
      </c>
      <c r="G1039" s="70">
        <v>100.700000000001</v>
      </c>
      <c r="K1039" s="70">
        <v>1009</v>
      </c>
      <c r="L1039" s="70">
        <f t="shared" si="32"/>
        <v>2018</v>
      </c>
      <c r="M1039" s="70">
        <v>100.399999999998</v>
      </c>
    </row>
    <row r="1040" spans="5:13" x14ac:dyDescent="0.3">
      <c r="E1040" s="70">
        <v>1010</v>
      </c>
      <c r="F1040" s="70">
        <f t="shared" si="31"/>
        <v>5050</v>
      </c>
      <c r="G1040" s="70">
        <v>100.80000000000101</v>
      </c>
      <c r="K1040" s="70">
        <v>1010</v>
      </c>
      <c r="L1040" s="70">
        <f t="shared" si="32"/>
        <v>2020</v>
      </c>
      <c r="M1040" s="70">
        <v>100.499999999998</v>
      </c>
    </row>
    <row r="1041" spans="5:13" x14ac:dyDescent="0.3">
      <c r="E1041" s="70">
        <v>1011</v>
      </c>
      <c r="F1041" s="70">
        <f t="shared" si="31"/>
        <v>5055</v>
      </c>
      <c r="G1041" s="70">
        <v>100.900000000001</v>
      </c>
      <c r="K1041" s="70">
        <v>1011</v>
      </c>
      <c r="L1041" s="70">
        <f t="shared" si="32"/>
        <v>2022</v>
      </c>
      <c r="M1041" s="70">
        <v>100.599999999998</v>
      </c>
    </row>
    <row r="1042" spans="5:13" x14ac:dyDescent="0.3">
      <c r="E1042" s="70">
        <v>1012</v>
      </c>
      <c r="F1042" s="70">
        <f t="shared" si="31"/>
        <v>5060</v>
      </c>
      <c r="G1042" s="70">
        <v>101.00000000000099</v>
      </c>
      <c r="K1042" s="70">
        <v>1012</v>
      </c>
      <c r="L1042" s="70">
        <f t="shared" si="32"/>
        <v>2024</v>
      </c>
      <c r="M1042" s="70">
        <v>100.699999999998</v>
      </c>
    </row>
    <row r="1043" spans="5:13" x14ac:dyDescent="0.3">
      <c r="E1043" s="70">
        <v>1013</v>
      </c>
      <c r="F1043" s="70">
        <f t="shared" si="31"/>
        <v>5065</v>
      </c>
      <c r="G1043" s="70">
        <v>101.100000000001</v>
      </c>
      <c r="K1043" s="70">
        <v>1013</v>
      </c>
      <c r="L1043" s="70">
        <f t="shared" si="32"/>
        <v>2026</v>
      </c>
      <c r="M1043" s="70">
        <v>100.79999999999799</v>
      </c>
    </row>
    <row r="1044" spans="5:13" x14ac:dyDescent="0.3">
      <c r="E1044" s="70">
        <v>1014</v>
      </c>
      <c r="F1044" s="70">
        <f t="shared" si="31"/>
        <v>5070</v>
      </c>
      <c r="G1044" s="70">
        <v>101.200000000001</v>
      </c>
      <c r="K1044" s="70">
        <v>1014</v>
      </c>
      <c r="L1044" s="70">
        <f t="shared" si="32"/>
        <v>2028</v>
      </c>
      <c r="M1044" s="70">
        <v>100.899999999998</v>
      </c>
    </row>
    <row r="1045" spans="5:13" x14ac:dyDescent="0.3">
      <c r="E1045" s="70">
        <v>1015</v>
      </c>
      <c r="F1045" s="70">
        <f t="shared" si="31"/>
        <v>5075</v>
      </c>
      <c r="G1045" s="70">
        <v>101.30000000000101</v>
      </c>
      <c r="K1045" s="70">
        <v>1015</v>
      </c>
      <c r="L1045" s="70">
        <f t="shared" si="32"/>
        <v>2030</v>
      </c>
      <c r="M1045" s="70">
        <v>100.999999999998</v>
      </c>
    </row>
    <row r="1046" spans="5:13" x14ac:dyDescent="0.3">
      <c r="E1046" s="70">
        <v>1016</v>
      </c>
      <c r="F1046" s="70">
        <f t="shared" si="31"/>
        <v>5080</v>
      </c>
      <c r="G1046" s="70">
        <v>101.400000000001</v>
      </c>
      <c r="K1046" s="70">
        <v>1016</v>
      </c>
      <c r="L1046" s="70">
        <f t="shared" si="32"/>
        <v>2032</v>
      </c>
      <c r="M1046" s="70">
        <v>101.099999999998</v>
      </c>
    </row>
    <row r="1047" spans="5:13" x14ac:dyDescent="0.3">
      <c r="E1047" s="70">
        <v>1017</v>
      </c>
      <c r="F1047" s="70">
        <f t="shared" si="31"/>
        <v>5085</v>
      </c>
      <c r="G1047" s="70">
        <v>101.50000000000099</v>
      </c>
      <c r="K1047" s="70">
        <v>1017</v>
      </c>
      <c r="L1047" s="70">
        <f t="shared" si="32"/>
        <v>2034</v>
      </c>
      <c r="M1047" s="70">
        <v>101.199999999998</v>
      </c>
    </row>
    <row r="1048" spans="5:13" x14ac:dyDescent="0.3">
      <c r="E1048" s="70">
        <v>1018</v>
      </c>
      <c r="F1048" s="70">
        <f t="shared" si="31"/>
        <v>5090</v>
      </c>
      <c r="G1048" s="70">
        <v>101.600000000001</v>
      </c>
      <c r="K1048" s="70">
        <v>1018</v>
      </c>
      <c r="L1048" s="70">
        <f t="shared" si="32"/>
        <v>2036</v>
      </c>
      <c r="M1048" s="70">
        <v>101.29999999999799</v>
      </c>
    </row>
    <row r="1049" spans="5:13" x14ac:dyDescent="0.3">
      <c r="E1049" s="70">
        <v>1019</v>
      </c>
      <c r="F1049" s="70">
        <f t="shared" si="31"/>
        <v>5095</v>
      </c>
      <c r="G1049" s="70">
        <v>101.700000000001</v>
      </c>
      <c r="K1049" s="70">
        <v>1019</v>
      </c>
      <c r="L1049" s="70">
        <f t="shared" si="32"/>
        <v>2038</v>
      </c>
      <c r="M1049" s="70">
        <v>101.399999999998</v>
      </c>
    </row>
    <row r="1050" spans="5:13" x14ac:dyDescent="0.3">
      <c r="E1050" s="70">
        <v>1020</v>
      </c>
      <c r="F1050" s="70">
        <f t="shared" si="31"/>
        <v>5100</v>
      </c>
      <c r="G1050" s="70">
        <v>101.80000000000101</v>
      </c>
      <c r="K1050" s="70">
        <v>1020</v>
      </c>
      <c r="L1050" s="70">
        <f t="shared" si="32"/>
        <v>2040</v>
      </c>
      <c r="M1050" s="70">
        <v>101.499999999998</v>
      </c>
    </row>
    <row r="1051" spans="5:13" x14ac:dyDescent="0.3">
      <c r="E1051" s="70">
        <v>1021</v>
      </c>
      <c r="F1051" s="70">
        <f t="shared" si="31"/>
        <v>5105</v>
      </c>
      <c r="G1051" s="70">
        <v>101.900000000001</v>
      </c>
      <c r="K1051" s="70">
        <v>1021</v>
      </c>
      <c r="L1051" s="70">
        <f t="shared" si="32"/>
        <v>2042</v>
      </c>
      <c r="M1051" s="70">
        <v>101.599999999998</v>
      </c>
    </row>
    <row r="1052" spans="5:13" x14ac:dyDescent="0.3">
      <c r="E1052" s="70">
        <v>1022</v>
      </c>
      <c r="F1052" s="70">
        <f t="shared" si="31"/>
        <v>5110</v>
      </c>
      <c r="G1052" s="70">
        <v>102.00000000000099</v>
      </c>
      <c r="K1052" s="70">
        <v>1022</v>
      </c>
      <c r="L1052" s="70">
        <f t="shared" si="32"/>
        <v>2044</v>
      </c>
      <c r="M1052" s="70">
        <v>101.699999999998</v>
      </c>
    </row>
    <row r="1053" spans="5:13" x14ac:dyDescent="0.3">
      <c r="E1053" s="70">
        <v>1023</v>
      </c>
      <c r="F1053" s="70">
        <f t="shared" si="31"/>
        <v>5115</v>
      </c>
      <c r="G1053" s="70">
        <v>102.100000000001</v>
      </c>
      <c r="K1053" s="70">
        <v>1023</v>
      </c>
      <c r="L1053" s="70">
        <f t="shared" si="32"/>
        <v>2046</v>
      </c>
      <c r="M1053" s="70">
        <v>101.79999999999799</v>
      </c>
    </row>
    <row r="1054" spans="5:13" x14ac:dyDescent="0.3">
      <c r="E1054" s="70">
        <v>1024</v>
      </c>
      <c r="F1054" s="70">
        <f t="shared" si="31"/>
        <v>5120</v>
      </c>
      <c r="G1054" s="70">
        <v>102.200000000001</v>
      </c>
      <c r="K1054" s="70">
        <v>1024</v>
      </c>
      <c r="L1054" s="70">
        <f t="shared" si="32"/>
        <v>2048</v>
      </c>
      <c r="M1054" s="70">
        <v>101.899999999998</v>
      </c>
    </row>
    <row r="1055" spans="5:13" x14ac:dyDescent="0.3">
      <c r="E1055" s="70">
        <v>1025</v>
      </c>
      <c r="F1055" s="70">
        <f t="shared" si="31"/>
        <v>5125</v>
      </c>
      <c r="G1055" s="70">
        <v>102.30000000000101</v>
      </c>
      <c r="K1055" s="70">
        <v>1025</v>
      </c>
      <c r="L1055" s="70">
        <f t="shared" si="32"/>
        <v>2050</v>
      </c>
      <c r="M1055" s="70">
        <v>101.999999999998</v>
      </c>
    </row>
    <row r="1056" spans="5:13" x14ac:dyDescent="0.3">
      <c r="E1056" s="70">
        <v>1026</v>
      </c>
      <c r="F1056" s="70">
        <f t="shared" si="31"/>
        <v>5130</v>
      </c>
      <c r="G1056" s="70">
        <v>102.400000000001</v>
      </c>
      <c r="K1056" s="70">
        <v>1026</v>
      </c>
      <c r="L1056" s="70">
        <f t="shared" si="32"/>
        <v>2052</v>
      </c>
      <c r="M1056" s="70">
        <v>102.099999999998</v>
      </c>
    </row>
    <row r="1057" spans="5:13" x14ac:dyDescent="0.3">
      <c r="E1057" s="70">
        <v>1027</v>
      </c>
      <c r="F1057" s="70">
        <f t="shared" ref="F1057:F1085" si="33">+F1056+$F$27</f>
        <v>5135</v>
      </c>
      <c r="G1057" s="70">
        <v>102.50000000000099</v>
      </c>
      <c r="K1057" s="70">
        <v>1027</v>
      </c>
      <c r="L1057" s="70">
        <f t="shared" ref="L1057:L1085" si="34">+L1056+$L$27</f>
        <v>2054</v>
      </c>
      <c r="M1057" s="70">
        <v>102.199999999998</v>
      </c>
    </row>
    <row r="1058" spans="5:13" x14ac:dyDescent="0.3">
      <c r="E1058" s="70">
        <v>1028</v>
      </c>
      <c r="F1058" s="70">
        <f t="shared" si="33"/>
        <v>5140</v>
      </c>
      <c r="G1058" s="70">
        <v>102.600000000001</v>
      </c>
      <c r="K1058" s="70">
        <v>1028</v>
      </c>
      <c r="L1058" s="70">
        <f t="shared" si="34"/>
        <v>2056</v>
      </c>
      <c r="M1058" s="70">
        <v>102.29999999999799</v>
      </c>
    </row>
    <row r="1059" spans="5:13" x14ac:dyDescent="0.3">
      <c r="E1059" s="70">
        <v>1029</v>
      </c>
      <c r="F1059" s="70">
        <f t="shared" si="33"/>
        <v>5145</v>
      </c>
      <c r="G1059" s="70">
        <v>102.700000000001</v>
      </c>
      <c r="K1059" s="70">
        <v>1029</v>
      </c>
      <c r="L1059" s="70">
        <f t="shared" si="34"/>
        <v>2058</v>
      </c>
      <c r="M1059" s="70">
        <v>102.399999999998</v>
      </c>
    </row>
    <row r="1060" spans="5:13" x14ac:dyDescent="0.3">
      <c r="E1060" s="70">
        <v>1030</v>
      </c>
      <c r="F1060" s="70">
        <f t="shared" si="33"/>
        <v>5150</v>
      </c>
      <c r="G1060" s="70">
        <v>102.80000000000101</v>
      </c>
      <c r="K1060" s="70">
        <v>1030</v>
      </c>
      <c r="L1060" s="70">
        <f t="shared" si="34"/>
        <v>2060</v>
      </c>
      <c r="M1060" s="70">
        <v>102.499999999998</v>
      </c>
    </row>
    <row r="1061" spans="5:13" x14ac:dyDescent="0.3">
      <c r="E1061" s="70">
        <v>1031</v>
      </c>
      <c r="F1061" s="70">
        <f t="shared" si="33"/>
        <v>5155</v>
      </c>
      <c r="G1061" s="70">
        <v>102.900000000001</v>
      </c>
      <c r="K1061" s="70">
        <v>1031</v>
      </c>
      <c r="L1061" s="70">
        <f t="shared" si="34"/>
        <v>2062</v>
      </c>
      <c r="M1061" s="70">
        <v>102.599999999998</v>
      </c>
    </row>
    <row r="1062" spans="5:13" x14ac:dyDescent="0.3">
      <c r="E1062" s="70">
        <v>1032</v>
      </c>
      <c r="F1062" s="70">
        <f t="shared" si="33"/>
        <v>5160</v>
      </c>
      <c r="G1062" s="70">
        <v>103.00000000000099</v>
      </c>
      <c r="K1062" s="70">
        <v>1032</v>
      </c>
      <c r="L1062" s="70">
        <f t="shared" si="34"/>
        <v>2064</v>
      </c>
      <c r="M1062" s="70">
        <v>102.699999999998</v>
      </c>
    </row>
    <row r="1063" spans="5:13" x14ac:dyDescent="0.3">
      <c r="E1063" s="70">
        <v>1033</v>
      </c>
      <c r="F1063" s="70">
        <f t="shared" si="33"/>
        <v>5165</v>
      </c>
      <c r="G1063" s="70">
        <v>103.100000000001</v>
      </c>
      <c r="K1063" s="70">
        <v>1033</v>
      </c>
      <c r="L1063" s="70">
        <f t="shared" si="34"/>
        <v>2066</v>
      </c>
      <c r="M1063" s="70">
        <v>102.79999999999799</v>
      </c>
    </row>
    <row r="1064" spans="5:13" x14ac:dyDescent="0.3">
      <c r="E1064" s="70">
        <v>1034</v>
      </c>
      <c r="F1064" s="70">
        <f t="shared" si="33"/>
        <v>5170</v>
      </c>
      <c r="G1064" s="70">
        <v>103.200000000001</v>
      </c>
      <c r="K1064" s="70">
        <v>1034</v>
      </c>
      <c r="L1064" s="70">
        <f t="shared" si="34"/>
        <v>2068</v>
      </c>
      <c r="M1064" s="70">
        <v>102.899999999998</v>
      </c>
    </row>
    <row r="1065" spans="5:13" x14ac:dyDescent="0.3">
      <c r="E1065" s="70">
        <v>1035</v>
      </c>
      <c r="F1065" s="70">
        <f t="shared" si="33"/>
        <v>5175</v>
      </c>
      <c r="G1065" s="70">
        <v>103.30000000000101</v>
      </c>
      <c r="K1065" s="70">
        <v>1035</v>
      </c>
      <c r="L1065" s="70">
        <f t="shared" si="34"/>
        <v>2070</v>
      </c>
      <c r="M1065" s="70">
        <v>102.999999999998</v>
      </c>
    </row>
    <row r="1066" spans="5:13" x14ac:dyDescent="0.3">
      <c r="E1066" s="70">
        <v>1036</v>
      </c>
      <c r="F1066" s="70">
        <f t="shared" si="33"/>
        <v>5180</v>
      </c>
      <c r="G1066" s="70">
        <v>103.400000000001</v>
      </c>
      <c r="K1066" s="70">
        <v>1036</v>
      </c>
      <c r="L1066" s="70">
        <f t="shared" si="34"/>
        <v>2072</v>
      </c>
      <c r="M1066" s="70">
        <v>103.099999999998</v>
      </c>
    </row>
    <row r="1067" spans="5:13" x14ac:dyDescent="0.3">
      <c r="E1067" s="70">
        <v>1037</v>
      </c>
      <c r="F1067" s="70">
        <f t="shared" si="33"/>
        <v>5185</v>
      </c>
      <c r="G1067" s="70">
        <v>103.50000000000099</v>
      </c>
      <c r="K1067" s="70">
        <v>1037</v>
      </c>
      <c r="L1067" s="70">
        <f t="shared" si="34"/>
        <v>2074</v>
      </c>
      <c r="M1067" s="70">
        <v>103.199999999998</v>
      </c>
    </row>
    <row r="1068" spans="5:13" x14ac:dyDescent="0.3">
      <c r="E1068" s="70">
        <v>1038</v>
      </c>
      <c r="F1068" s="70">
        <f t="shared" si="33"/>
        <v>5190</v>
      </c>
      <c r="G1068" s="70">
        <v>103.600000000001</v>
      </c>
      <c r="K1068" s="70">
        <v>1038</v>
      </c>
      <c r="L1068" s="70">
        <f t="shared" si="34"/>
        <v>2076</v>
      </c>
      <c r="M1068" s="70">
        <v>103.29999999999799</v>
      </c>
    </row>
    <row r="1069" spans="5:13" x14ac:dyDescent="0.3">
      <c r="E1069" s="70">
        <v>1039</v>
      </c>
      <c r="F1069" s="70">
        <f t="shared" si="33"/>
        <v>5195</v>
      </c>
      <c r="G1069" s="70">
        <v>103.700000000001</v>
      </c>
      <c r="K1069" s="70">
        <v>1039</v>
      </c>
      <c r="L1069" s="70">
        <f t="shared" si="34"/>
        <v>2078</v>
      </c>
      <c r="M1069" s="70">
        <v>103.399999999998</v>
      </c>
    </row>
    <row r="1070" spans="5:13" x14ac:dyDescent="0.3">
      <c r="E1070" s="70">
        <v>1040</v>
      </c>
      <c r="F1070" s="70">
        <f t="shared" si="33"/>
        <v>5200</v>
      </c>
      <c r="G1070" s="70">
        <v>103.80000000000101</v>
      </c>
      <c r="K1070" s="70">
        <v>1040</v>
      </c>
      <c r="L1070" s="70">
        <f t="shared" si="34"/>
        <v>2080</v>
      </c>
      <c r="M1070" s="70">
        <v>103.499999999998</v>
      </c>
    </row>
    <row r="1071" spans="5:13" x14ac:dyDescent="0.3">
      <c r="E1071" s="70">
        <v>1041</v>
      </c>
      <c r="F1071" s="70">
        <f t="shared" si="33"/>
        <v>5205</v>
      </c>
      <c r="G1071" s="70">
        <v>103.900000000001</v>
      </c>
      <c r="K1071" s="70">
        <v>1041</v>
      </c>
      <c r="L1071" s="70">
        <f t="shared" si="34"/>
        <v>2082</v>
      </c>
      <c r="M1071" s="70">
        <v>103.599999999998</v>
      </c>
    </row>
    <row r="1072" spans="5:13" x14ac:dyDescent="0.3">
      <c r="E1072" s="70">
        <v>1042</v>
      </c>
      <c r="F1072" s="70">
        <f t="shared" si="33"/>
        <v>5210</v>
      </c>
      <c r="G1072" s="70">
        <v>104.00000000000099</v>
      </c>
      <c r="K1072" s="70">
        <v>1042</v>
      </c>
      <c r="L1072" s="70">
        <f t="shared" si="34"/>
        <v>2084</v>
      </c>
      <c r="M1072" s="70">
        <v>103.699999999998</v>
      </c>
    </row>
    <row r="1073" spans="5:13" x14ac:dyDescent="0.3">
      <c r="E1073" s="70">
        <v>1043</v>
      </c>
      <c r="F1073" s="70">
        <f t="shared" si="33"/>
        <v>5215</v>
      </c>
      <c r="G1073" s="70">
        <v>104.100000000001</v>
      </c>
      <c r="K1073" s="70">
        <v>1043</v>
      </c>
      <c r="L1073" s="70">
        <f t="shared" si="34"/>
        <v>2086</v>
      </c>
      <c r="M1073" s="70">
        <v>103.79999999999799</v>
      </c>
    </row>
    <row r="1074" spans="5:13" x14ac:dyDescent="0.3">
      <c r="E1074" s="70">
        <v>1044</v>
      </c>
      <c r="F1074" s="70">
        <f t="shared" si="33"/>
        <v>5220</v>
      </c>
      <c r="G1074" s="70">
        <v>104.200000000001</v>
      </c>
      <c r="K1074" s="70">
        <v>1044</v>
      </c>
      <c r="L1074" s="70">
        <f t="shared" si="34"/>
        <v>2088</v>
      </c>
      <c r="M1074" s="70">
        <v>103.899999999998</v>
      </c>
    </row>
    <row r="1075" spans="5:13" x14ac:dyDescent="0.3">
      <c r="E1075" s="70">
        <v>1045</v>
      </c>
      <c r="F1075" s="70">
        <f t="shared" si="33"/>
        <v>5225</v>
      </c>
      <c r="G1075" s="70">
        <v>104.30000000000101</v>
      </c>
      <c r="K1075" s="70">
        <v>1045</v>
      </c>
      <c r="L1075" s="70">
        <f t="shared" si="34"/>
        <v>2090</v>
      </c>
      <c r="M1075" s="70">
        <v>103.999999999998</v>
      </c>
    </row>
    <row r="1076" spans="5:13" x14ac:dyDescent="0.3">
      <c r="E1076" s="70">
        <v>1046</v>
      </c>
      <c r="F1076" s="70">
        <f t="shared" si="33"/>
        <v>5230</v>
      </c>
      <c r="G1076" s="70">
        <v>104.400000000001</v>
      </c>
      <c r="K1076" s="70">
        <v>1046</v>
      </c>
      <c r="L1076" s="70">
        <f t="shared" si="34"/>
        <v>2092</v>
      </c>
      <c r="M1076" s="70">
        <v>104.099999999998</v>
      </c>
    </row>
    <row r="1077" spans="5:13" x14ac:dyDescent="0.3">
      <c r="E1077" s="70">
        <v>1047</v>
      </c>
      <c r="F1077" s="70">
        <f t="shared" si="33"/>
        <v>5235</v>
      </c>
      <c r="G1077" s="70">
        <v>104.50000000000099</v>
      </c>
      <c r="K1077" s="70">
        <v>1047</v>
      </c>
      <c r="L1077" s="70">
        <f t="shared" si="34"/>
        <v>2094</v>
      </c>
      <c r="M1077" s="70">
        <v>104.199999999998</v>
      </c>
    </row>
    <row r="1078" spans="5:13" x14ac:dyDescent="0.3">
      <c r="E1078" s="70">
        <v>1048</v>
      </c>
      <c r="F1078" s="70">
        <f t="shared" si="33"/>
        <v>5240</v>
      </c>
      <c r="G1078" s="70">
        <v>104.600000000001</v>
      </c>
      <c r="K1078" s="70">
        <v>1048</v>
      </c>
      <c r="L1078" s="70">
        <f t="shared" si="34"/>
        <v>2096</v>
      </c>
      <c r="M1078" s="70">
        <v>104.29999999999799</v>
      </c>
    </row>
    <row r="1079" spans="5:13" x14ac:dyDescent="0.3">
      <c r="E1079" s="70">
        <v>1049</v>
      </c>
      <c r="F1079" s="70">
        <f t="shared" si="33"/>
        <v>5245</v>
      </c>
      <c r="G1079" s="70">
        <v>104.700000000001</v>
      </c>
      <c r="K1079" s="70">
        <v>1049</v>
      </c>
      <c r="L1079" s="70">
        <f t="shared" si="34"/>
        <v>2098</v>
      </c>
      <c r="M1079" s="70">
        <v>104.399999999998</v>
      </c>
    </row>
    <row r="1080" spans="5:13" x14ac:dyDescent="0.3">
      <c r="E1080" s="70">
        <v>1050</v>
      </c>
      <c r="F1080" s="70">
        <f t="shared" si="33"/>
        <v>5250</v>
      </c>
      <c r="G1080" s="70">
        <v>104.80000000000101</v>
      </c>
      <c r="K1080" s="70">
        <v>1050</v>
      </c>
      <c r="L1080" s="70">
        <f t="shared" si="34"/>
        <v>2100</v>
      </c>
      <c r="M1080" s="70">
        <v>104.499999999998</v>
      </c>
    </row>
    <row r="1081" spans="5:13" x14ac:dyDescent="0.3">
      <c r="E1081" s="70">
        <v>1051</v>
      </c>
      <c r="F1081" s="70">
        <f t="shared" si="33"/>
        <v>5255</v>
      </c>
      <c r="G1081" s="70">
        <v>104.900000000001</v>
      </c>
      <c r="K1081" s="70">
        <v>1051</v>
      </c>
      <c r="L1081" s="70">
        <f t="shared" si="34"/>
        <v>2102</v>
      </c>
      <c r="M1081" s="70">
        <v>104.599999999998</v>
      </c>
    </row>
    <row r="1082" spans="5:13" x14ac:dyDescent="0.3">
      <c r="E1082" s="70">
        <v>1052</v>
      </c>
      <c r="F1082" s="70">
        <f t="shared" si="33"/>
        <v>5260</v>
      </c>
      <c r="G1082" s="70">
        <v>105.00000000000099</v>
      </c>
      <c r="K1082" s="70">
        <v>1052</v>
      </c>
      <c r="L1082" s="70">
        <f t="shared" si="34"/>
        <v>2104</v>
      </c>
      <c r="M1082" s="70">
        <v>104.699999999998</v>
      </c>
    </row>
    <row r="1083" spans="5:13" x14ac:dyDescent="0.3">
      <c r="E1083" s="70">
        <v>1053</v>
      </c>
      <c r="F1083" s="70">
        <f t="shared" si="33"/>
        <v>5265</v>
      </c>
      <c r="G1083" s="70">
        <v>105.100000000001</v>
      </c>
      <c r="K1083" s="70">
        <v>1053</v>
      </c>
      <c r="L1083" s="70">
        <f t="shared" si="34"/>
        <v>2106</v>
      </c>
      <c r="M1083" s="70">
        <v>104.79999999999799</v>
      </c>
    </row>
    <row r="1084" spans="5:13" x14ac:dyDescent="0.3">
      <c r="E1084" s="70">
        <v>1054</v>
      </c>
      <c r="F1084" s="70">
        <f t="shared" si="33"/>
        <v>5270</v>
      </c>
      <c r="G1084" s="70">
        <v>105.200000000001</v>
      </c>
      <c r="K1084" s="70">
        <v>1054</v>
      </c>
      <c r="L1084" s="70">
        <f t="shared" si="34"/>
        <v>2108</v>
      </c>
      <c r="M1084" s="70">
        <v>104.899999999998</v>
      </c>
    </row>
    <row r="1085" spans="5:13" x14ac:dyDescent="0.3">
      <c r="E1085" s="70">
        <v>1055</v>
      </c>
      <c r="F1085" s="70">
        <f t="shared" si="33"/>
        <v>5275</v>
      </c>
      <c r="G1085" s="70">
        <v>105.30000000000101</v>
      </c>
      <c r="K1085" s="70">
        <v>1055</v>
      </c>
      <c r="L1085" s="70">
        <f t="shared" si="34"/>
        <v>2110</v>
      </c>
      <c r="M1085" s="70">
        <v>104.999999999998</v>
      </c>
    </row>
  </sheetData>
  <mergeCells count="5">
    <mergeCell ref="C5:C10"/>
    <mergeCell ref="E9:F10"/>
    <mergeCell ref="C15:C22"/>
    <mergeCell ref="E18:F22"/>
    <mergeCell ref="G18:K2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27"/>
  <sheetViews>
    <sheetView showGridLines="0" topLeftCell="C1" zoomScale="90" zoomScaleNormal="90" workbookViewId="0">
      <selection activeCell="W6" sqref="W6"/>
    </sheetView>
  </sheetViews>
  <sheetFormatPr defaultRowHeight="14.4" x14ac:dyDescent="0.3"/>
  <cols>
    <col min="1" max="2" width="3.6640625" customWidth="1"/>
    <col min="3" max="4" width="11.88671875" customWidth="1"/>
    <col min="5" max="5" width="4.109375" customWidth="1"/>
    <col min="6" max="6" width="4.6640625" customWidth="1"/>
    <col min="7" max="24" width="4.44140625" customWidth="1"/>
    <col min="25" max="25" width="4" customWidth="1"/>
    <col min="26" max="26" width="2.6640625" customWidth="1"/>
    <col min="32" max="32" width="4.33203125" customWidth="1"/>
    <col min="33" max="33" width="2.5546875" customWidth="1"/>
    <col min="34" max="34" width="11" bestFit="1" customWidth="1"/>
    <col min="35" max="35" width="13.109375" customWidth="1"/>
    <col min="36" max="36" width="11.6640625" customWidth="1"/>
    <col min="37" max="37" width="4.6640625" customWidth="1"/>
    <col min="38" max="38" width="33.88671875" customWidth="1"/>
  </cols>
  <sheetData>
    <row r="1" spans="2:36" ht="5.4" customHeight="1" x14ac:dyDescent="0.3"/>
    <row r="2" spans="2:36" s="10" customFormat="1" ht="16.5" customHeight="1" x14ac:dyDescent="0.25">
      <c r="B2" s="452" t="s">
        <v>29</v>
      </c>
      <c r="C2" s="453"/>
      <c r="D2" s="454"/>
      <c r="E2" s="61"/>
      <c r="F2" s="61"/>
      <c r="G2" s="461" t="s">
        <v>30</v>
      </c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3"/>
      <c r="Y2" s="9"/>
    </row>
    <row r="3" spans="2:36" s="10" customFormat="1" ht="20.100000000000001" customHeight="1" x14ac:dyDescent="0.25">
      <c r="B3" s="455"/>
      <c r="C3" s="456"/>
      <c r="D3" s="457"/>
      <c r="E3" s="63"/>
      <c r="F3" s="63"/>
      <c r="G3" s="449" t="s">
        <v>158</v>
      </c>
      <c r="H3" s="449" t="s">
        <v>152</v>
      </c>
      <c r="I3" s="449" t="s">
        <v>153</v>
      </c>
      <c r="J3" s="449" t="s">
        <v>159</v>
      </c>
      <c r="K3" s="449" t="s">
        <v>160</v>
      </c>
      <c r="L3" s="449" t="s">
        <v>31</v>
      </c>
      <c r="M3" s="449" t="s">
        <v>32</v>
      </c>
      <c r="N3" s="449" t="s">
        <v>156</v>
      </c>
      <c r="O3" s="449" t="s">
        <v>157</v>
      </c>
      <c r="P3" s="449" t="s">
        <v>183</v>
      </c>
      <c r="Q3" s="449" t="s">
        <v>33</v>
      </c>
      <c r="R3" s="449" t="s">
        <v>34</v>
      </c>
      <c r="S3" s="449" t="s">
        <v>35</v>
      </c>
      <c r="T3" s="449" t="s">
        <v>36</v>
      </c>
      <c r="U3" s="449" t="s">
        <v>184</v>
      </c>
      <c r="V3" s="449" t="s">
        <v>185</v>
      </c>
      <c r="W3" s="449" t="s">
        <v>39</v>
      </c>
      <c r="X3" s="449" t="s">
        <v>37</v>
      </c>
      <c r="Y3" s="9"/>
    </row>
    <row r="4" spans="2:36" s="10" customFormat="1" ht="96" customHeight="1" x14ac:dyDescent="0.25">
      <c r="B4" s="458"/>
      <c r="C4" s="459"/>
      <c r="D4" s="460"/>
      <c r="E4" s="65"/>
      <c r="F4" s="65"/>
      <c r="G4" s="450"/>
      <c r="H4" s="464"/>
      <c r="I4" s="464" t="s">
        <v>153</v>
      </c>
      <c r="J4" s="464" t="s">
        <v>154</v>
      </c>
      <c r="K4" s="464" t="s">
        <v>155</v>
      </c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9"/>
    </row>
    <row r="5" spans="2:36" s="10" customFormat="1" ht="18.75" customHeight="1" x14ac:dyDescent="0.3">
      <c r="B5" s="62"/>
      <c r="C5" s="64"/>
      <c r="D5" s="65"/>
      <c r="E5" s="74"/>
      <c r="F5" s="58" t="s">
        <v>187</v>
      </c>
      <c r="G5" s="118" t="s">
        <v>161</v>
      </c>
      <c r="H5" s="118" t="s">
        <v>162</v>
      </c>
      <c r="I5" s="118" t="s">
        <v>163</v>
      </c>
      <c r="J5" s="119" t="s">
        <v>164</v>
      </c>
      <c r="K5" s="119" t="s">
        <v>165</v>
      </c>
      <c r="L5" s="119" t="s">
        <v>166</v>
      </c>
      <c r="M5" s="119" t="s">
        <v>167</v>
      </c>
      <c r="N5" s="119" t="s">
        <v>168</v>
      </c>
      <c r="O5" s="119" t="s">
        <v>169</v>
      </c>
      <c r="P5" s="119" t="s">
        <v>170</v>
      </c>
      <c r="Q5" s="119" t="s">
        <v>177</v>
      </c>
      <c r="R5" s="119" t="s">
        <v>171</v>
      </c>
      <c r="S5" s="119" t="s">
        <v>172</v>
      </c>
      <c r="T5" s="119" t="s">
        <v>178</v>
      </c>
      <c r="U5" s="119" t="s">
        <v>173</v>
      </c>
      <c r="V5" s="119" t="s">
        <v>174</v>
      </c>
      <c r="W5" s="119" t="s">
        <v>175</v>
      </c>
      <c r="X5" s="119" t="s">
        <v>176</v>
      </c>
      <c r="Y5" s="9"/>
    </row>
    <row r="6" spans="2:36" s="7" customFormat="1" ht="15" customHeight="1" x14ac:dyDescent="0.3">
      <c r="B6" s="444" t="s">
        <v>38</v>
      </c>
      <c r="C6" s="438" t="s">
        <v>158</v>
      </c>
      <c r="D6" s="440"/>
      <c r="E6" s="124" t="s">
        <v>161</v>
      </c>
      <c r="F6" s="11">
        <f>G6</f>
        <v>0</v>
      </c>
      <c r="G6" s="11">
        <v>0</v>
      </c>
      <c r="H6" s="12">
        <v>0.1</v>
      </c>
      <c r="I6" s="12">
        <v>0.1</v>
      </c>
      <c r="J6" s="12">
        <v>0.2</v>
      </c>
      <c r="K6" s="12">
        <v>0.1</v>
      </c>
      <c r="L6" s="12">
        <v>0.15</v>
      </c>
      <c r="M6" s="12">
        <v>0.05</v>
      </c>
      <c r="N6" s="12">
        <v>0.2</v>
      </c>
      <c r="O6" s="12">
        <v>0.1</v>
      </c>
      <c r="P6" s="12">
        <v>0.05</v>
      </c>
      <c r="Q6" s="12">
        <v>0.1</v>
      </c>
      <c r="R6" s="12">
        <v>0.05</v>
      </c>
      <c r="S6" s="12">
        <v>0.05</v>
      </c>
      <c r="T6" s="12">
        <v>0.05</v>
      </c>
      <c r="U6" s="12">
        <v>0.05</v>
      </c>
      <c r="V6" s="12">
        <v>0.05</v>
      </c>
      <c r="W6" s="12">
        <v>0.5</v>
      </c>
      <c r="X6" s="13">
        <v>0.15</v>
      </c>
      <c r="AA6" s="444" t="s">
        <v>38</v>
      </c>
      <c r="AB6" s="438" t="s">
        <v>158</v>
      </c>
      <c r="AC6" s="439"/>
      <c r="AD6" s="67" t="s">
        <v>161</v>
      </c>
      <c r="AE6" s="298">
        <f>+F6</f>
        <v>0</v>
      </c>
      <c r="AH6" s="7">
        <v>0.05</v>
      </c>
      <c r="AI6" s="7">
        <v>0.05</v>
      </c>
    </row>
    <row r="7" spans="2:36" s="7" customFormat="1" ht="15" customHeight="1" x14ac:dyDescent="0.3">
      <c r="B7" s="445"/>
      <c r="C7" s="438" t="s">
        <v>152</v>
      </c>
      <c r="D7" s="440"/>
      <c r="E7" s="124" t="s">
        <v>162</v>
      </c>
      <c r="F7" s="14">
        <f>H7</f>
        <v>0.05</v>
      </c>
      <c r="G7" s="14">
        <v>0.15</v>
      </c>
      <c r="H7" s="17">
        <v>0.05</v>
      </c>
      <c r="I7" s="15">
        <f>0.1+$H$7</f>
        <v>0.15000000000000002</v>
      </c>
      <c r="J7" s="15">
        <f>0.15+$H$7</f>
        <v>0.2</v>
      </c>
      <c r="K7" s="15">
        <f>0.05+$H$7</f>
        <v>0.1</v>
      </c>
      <c r="L7" s="15">
        <f>0.05+$H$7</f>
        <v>0.1</v>
      </c>
      <c r="M7" s="15">
        <v>0.05</v>
      </c>
      <c r="N7" s="15">
        <v>0.5</v>
      </c>
      <c r="O7" s="15">
        <v>0.15</v>
      </c>
      <c r="P7" s="15">
        <v>0.05</v>
      </c>
      <c r="Q7" s="15">
        <v>0.1</v>
      </c>
      <c r="R7" s="15">
        <v>0.05</v>
      </c>
      <c r="S7" s="15">
        <v>0.05</v>
      </c>
      <c r="T7" s="15">
        <v>0.05</v>
      </c>
      <c r="U7" s="15">
        <v>0.05</v>
      </c>
      <c r="V7" s="15">
        <v>0.05</v>
      </c>
      <c r="W7" s="15">
        <v>0.5</v>
      </c>
      <c r="X7" s="16">
        <v>0.15</v>
      </c>
      <c r="AA7" s="445"/>
      <c r="AB7" s="438" t="s">
        <v>152</v>
      </c>
      <c r="AC7" s="439" t="s">
        <v>152</v>
      </c>
      <c r="AD7" s="67" t="s">
        <v>162</v>
      </c>
      <c r="AE7" s="298">
        <f t="shared" ref="AE7:AE23" si="0">+F7</f>
        <v>0.05</v>
      </c>
      <c r="AH7" s="7">
        <v>0.75</v>
      </c>
      <c r="AI7" s="7">
        <v>0.1</v>
      </c>
    </row>
    <row r="8" spans="2:36" s="7" customFormat="1" ht="20.25" customHeight="1" x14ac:dyDescent="0.3">
      <c r="B8" s="445"/>
      <c r="C8" s="438" t="s">
        <v>153</v>
      </c>
      <c r="D8" s="440"/>
      <c r="E8" s="124" t="s">
        <v>163</v>
      </c>
      <c r="F8" s="14">
        <f>I8</f>
        <v>0.05</v>
      </c>
      <c r="G8" s="14">
        <v>0.1</v>
      </c>
      <c r="H8" s="15">
        <v>0.1</v>
      </c>
      <c r="I8" s="17">
        <v>0.05</v>
      </c>
      <c r="J8" s="15">
        <v>0.2</v>
      </c>
      <c r="K8" s="15">
        <v>0.1</v>
      </c>
      <c r="L8" s="15">
        <v>0.1</v>
      </c>
      <c r="M8" s="15">
        <v>0.05</v>
      </c>
      <c r="N8" s="15">
        <v>0.5</v>
      </c>
      <c r="O8" s="15">
        <v>0.1</v>
      </c>
      <c r="P8" s="15">
        <v>0.05</v>
      </c>
      <c r="Q8" s="15">
        <v>0.05</v>
      </c>
      <c r="R8" s="15">
        <v>0.05</v>
      </c>
      <c r="S8" s="15">
        <v>0.05</v>
      </c>
      <c r="T8" s="15">
        <v>0.05</v>
      </c>
      <c r="U8" s="15">
        <v>0.05</v>
      </c>
      <c r="V8" s="15">
        <v>0.05</v>
      </c>
      <c r="W8" s="15">
        <v>0.5</v>
      </c>
      <c r="X8" s="16">
        <v>0.1</v>
      </c>
      <c r="AA8" s="445"/>
      <c r="AB8" s="438" t="s">
        <v>153</v>
      </c>
      <c r="AC8" s="439"/>
      <c r="AD8" s="67" t="s">
        <v>163</v>
      </c>
      <c r="AE8" s="298">
        <f t="shared" si="0"/>
        <v>0.05</v>
      </c>
      <c r="AH8" s="7">
        <v>1</v>
      </c>
      <c r="AI8" s="7">
        <v>0.15</v>
      </c>
    </row>
    <row r="9" spans="2:36" s="7" customFormat="1" ht="15" customHeight="1" x14ac:dyDescent="0.3">
      <c r="B9" s="445"/>
      <c r="C9" s="438" t="s">
        <v>159</v>
      </c>
      <c r="D9" s="440"/>
      <c r="E9" s="124" t="s">
        <v>164</v>
      </c>
      <c r="F9" s="14">
        <f>J9</f>
        <v>0.1</v>
      </c>
      <c r="G9" s="14">
        <v>0.05</v>
      </c>
      <c r="H9" s="15">
        <v>0.05</v>
      </c>
      <c r="I9" s="15">
        <v>0.05</v>
      </c>
      <c r="J9" s="17">
        <v>0.1</v>
      </c>
      <c r="K9" s="15">
        <v>0.15</v>
      </c>
      <c r="L9" s="15">
        <v>0.15</v>
      </c>
      <c r="M9" s="15">
        <v>0.05</v>
      </c>
      <c r="N9" s="15">
        <v>0.5</v>
      </c>
      <c r="O9" s="15">
        <v>0.2</v>
      </c>
      <c r="P9" s="15">
        <v>0.05</v>
      </c>
      <c r="Q9" s="15">
        <v>0.15</v>
      </c>
      <c r="R9" s="15">
        <v>0.05</v>
      </c>
      <c r="S9" s="15">
        <v>0.15</v>
      </c>
      <c r="T9" s="15">
        <v>0.15</v>
      </c>
      <c r="U9" s="15">
        <v>0.15</v>
      </c>
      <c r="V9" s="15">
        <v>0.15</v>
      </c>
      <c r="W9" s="15">
        <v>0.5</v>
      </c>
      <c r="X9" s="16">
        <v>0.15</v>
      </c>
      <c r="AA9" s="445"/>
      <c r="AB9" s="438" t="s">
        <v>159</v>
      </c>
      <c r="AC9" s="439"/>
      <c r="AD9" s="67" t="s">
        <v>164</v>
      </c>
      <c r="AE9" s="298">
        <f t="shared" si="0"/>
        <v>0.1</v>
      </c>
      <c r="AH9" s="7">
        <v>0.25</v>
      </c>
      <c r="AI9" s="7">
        <v>0.04</v>
      </c>
    </row>
    <row r="10" spans="2:36" s="7" customFormat="1" ht="15" customHeight="1" x14ac:dyDescent="0.3">
      <c r="B10" s="445"/>
      <c r="C10" s="438" t="s">
        <v>160</v>
      </c>
      <c r="D10" s="440"/>
      <c r="E10" s="124" t="s">
        <v>165</v>
      </c>
      <c r="F10" s="14">
        <f>K10</f>
        <v>0.05</v>
      </c>
      <c r="G10" s="14">
        <v>0.1</v>
      </c>
      <c r="H10" s="15">
        <v>0.1</v>
      </c>
      <c r="I10" s="15">
        <v>0.1</v>
      </c>
      <c r="J10" s="15">
        <v>0.15</v>
      </c>
      <c r="K10" s="17">
        <v>0.05</v>
      </c>
      <c r="L10" s="15">
        <v>0.1</v>
      </c>
      <c r="M10" s="15">
        <v>0.05</v>
      </c>
      <c r="N10" s="15">
        <v>0.5</v>
      </c>
      <c r="O10" s="15">
        <v>0.15</v>
      </c>
      <c r="P10" s="15">
        <v>0.05</v>
      </c>
      <c r="Q10" s="15">
        <v>0.1</v>
      </c>
      <c r="R10" s="15">
        <v>0.05</v>
      </c>
      <c r="S10" s="15">
        <v>0.1</v>
      </c>
      <c r="T10" s="15">
        <v>0.15</v>
      </c>
      <c r="U10" s="15">
        <v>0.1</v>
      </c>
      <c r="V10" s="15">
        <v>0.1</v>
      </c>
      <c r="W10" s="15">
        <v>0.5</v>
      </c>
      <c r="X10" s="16">
        <v>0.1</v>
      </c>
      <c r="AA10" s="445"/>
      <c r="AB10" s="438" t="s">
        <v>160</v>
      </c>
      <c r="AC10" s="439"/>
      <c r="AD10" s="67" t="s">
        <v>165</v>
      </c>
      <c r="AE10" s="298">
        <f t="shared" si="0"/>
        <v>0.05</v>
      </c>
      <c r="AH10" s="7">
        <v>0.1</v>
      </c>
      <c r="AI10" s="7">
        <v>0.02</v>
      </c>
    </row>
    <row r="11" spans="2:36" s="7" customFormat="1" ht="22.5" customHeight="1" x14ac:dyDescent="0.3">
      <c r="B11" s="445"/>
      <c r="C11" s="438" t="s">
        <v>31</v>
      </c>
      <c r="D11" s="439"/>
      <c r="E11" s="124" t="s">
        <v>166</v>
      </c>
      <c r="F11" s="14">
        <f>L11</f>
        <v>0.1</v>
      </c>
      <c r="G11" s="14">
        <v>0.15</v>
      </c>
      <c r="H11" s="15">
        <v>0.15</v>
      </c>
      <c r="I11" s="15">
        <v>0.15</v>
      </c>
      <c r="J11" s="15">
        <v>0.2</v>
      </c>
      <c r="K11" s="15">
        <v>0.15</v>
      </c>
      <c r="L11" s="17">
        <v>0.1</v>
      </c>
      <c r="M11" s="15">
        <v>0.05</v>
      </c>
      <c r="N11" s="15">
        <v>0.5</v>
      </c>
      <c r="O11" s="15">
        <v>0.2</v>
      </c>
      <c r="P11" s="15">
        <v>0.05</v>
      </c>
      <c r="Q11" s="15">
        <v>0.15</v>
      </c>
      <c r="R11" s="15">
        <v>0.15</v>
      </c>
      <c r="S11" s="15">
        <v>0.15</v>
      </c>
      <c r="T11" s="15">
        <v>0.15</v>
      </c>
      <c r="U11" s="15">
        <v>0.1</v>
      </c>
      <c r="V11" s="15">
        <v>0.1</v>
      </c>
      <c r="W11" s="15">
        <v>0.5</v>
      </c>
      <c r="X11" s="16">
        <v>0.1</v>
      </c>
      <c r="AA11" s="445"/>
      <c r="AB11" s="441" t="s">
        <v>31</v>
      </c>
      <c r="AC11" s="441"/>
      <c r="AD11" s="67" t="s">
        <v>166</v>
      </c>
      <c r="AE11" s="298">
        <f t="shared" si="0"/>
        <v>0.1</v>
      </c>
    </row>
    <row r="12" spans="2:36" s="7" customFormat="1" ht="15" customHeight="1" x14ac:dyDescent="0.3">
      <c r="B12" s="445"/>
      <c r="C12" s="438" t="s">
        <v>32</v>
      </c>
      <c r="D12" s="439"/>
      <c r="E12" s="124" t="s">
        <v>167</v>
      </c>
      <c r="F12" s="14">
        <v>0.05</v>
      </c>
      <c r="G12" s="14">
        <v>0.1</v>
      </c>
      <c r="H12" s="15">
        <v>0.15</v>
      </c>
      <c r="I12" s="15">
        <v>0.15</v>
      </c>
      <c r="J12" s="15">
        <v>0.2</v>
      </c>
      <c r="K12" s="15">
        <v>0.15</v>
      </c>
      <c r="L12" s="15">
        <v>0.15</v>
      </c>
      <c r="M12" s="17">
        <v>0.05</v>
      </c>
      <c r="N12" s="15">
        <v>0.1</v>
      </c>
      <c r="O12" s="15">
        <v>0.1</v>
      </c>
      <c r="P12" s="15">
        <v>0.05</v>
      </c>
      <c r="Q12" s="15">
        <v>0.15</v>
      </c>
      <c r="R12" s="15">
        <v>0.05</v>
      </c>
      <c r="S12" s="15">
        <v>0.05</v>
      </c>
      <c r="T12" s="15">
        <v>0.05</v>
      </c>
      <c r="U12" s="15">
        <v>0.05</v>
      </c>
      <c r="V12" s="15">
        <v>0.05</v>
      </c>
      <c r="W12" s="15">
        <v>0.2</v>
      </c>
      <c r="X12" s="16">
        <v>0.05</v>
      </c>
      <c r="AA12" s="445"/>
      <c r="AB12" s="441" t="s">
        <v>32</v>
      </c>
      <c r="AC12" s="441"/>
      <c r="AD12" s="67" t="s">
        <v>167</v>
      </c>
      <c r="AE12" s="298">
        <f t="shared" si="0"/>
        <v>0.05</v>
      </c>
      <c r="AH12" s="77" t="s">
        <v>188</v>
      </c>
      <c r="AI12" s="81">
        <v>0.2</v>
      </c>
    </row>
    <row r="13" spans="2:36" s="7" customFormat="1" ht="15" customHeight="1" x14ac:dyDescent="0.3">
      <c r="B13" s="445"/>
      <c r="C13" s="438" t="s">
        <v>156</v>
      </c>
      <c r="D13" s="440"/>
      <c r="E13" s="124" t="s">
        <v>168</v>
      </c>
      <c r="F13" s="14">
        <f>+N13</f>
        <v>0.05</v>
      </c>
      <c r="G13" s="14">
        <v>0.05</v>
      </c>
      <c r="H13" s="15">
        <v>0.05</v>
      </c>
      <c r="I13" s="15">
        <v>0.05</v>
      </c>
      <c r="J13" s="15">
        <v>0.05</v>
      </c>
      <c r="K13" s="15">
        <v>0.05</v>
      </c>
      <c r="L13" s="15">
        <v>0.05</v>
      </c>
      <c r="M13" s="15">
        <v>0.05</v>
      </c>
      <c r="N13" s="17">
        <v>0.05</v>
      </c>
      <c r="O13" s="15">
        <v>0.05</v>
      </c>
      <c r="P13" s="15">
        <v>0.05</v>
      </c>
      <c r="Q13" s="15">
        <v>0.05</v>
      </c>
      <c r="R13" s="15">
        <v>0.05</v>
      </c>
      <c r="S13" s="15">
        <v>0.05</v>
      </c>
      <c r="T13" s="15">
        <v>0.05</v>
      </c>
      <c r="U13" s="15">
        <v>0.1</v>
      </c>
      <c r="V13" s="15">
        <v>0.05</v>
      </c>
      <c r="W13" s="15">
        <v>0.2</v>
      </c>
      <c r="X13" s="16">
        <v>0.05</v>
      </c>
      <c r="AA13" s="445"/>
      <c r="AB13" s="438" t="s">
        <v>156</v>
      </c>
      <c r="AC13" s="439"/>
      <c r="AD13" s="67" t="s">
        <v>168</v>
      </c>
      <c r="AE13" s="298">
        <f t="shared" si="0"/>
        <v>0.05</v>
      </c>
      <c r="AH13" s="76">
        <v>100</v>
      </c>
      <c r="AI13" s="76"/>
      <c r="AJ13" s="76"/>
    </row>
    <row r="14" spans="2:36" s="7" customFormat="1" ht="15" customHeight="1" x14ac:dyDescent="0.3">
      <c r="B14" s="445"/>
      <c r="C14" s="447" t="s">
        <v>157</v>
      </c>
      <c r="D14" s="451"/>
      <c r="E14" s="124" t="s">
        <v>169</v>
      </c>
      <c r="F14" s="14">
        <v>0.05</v>
      </c>
      <c r="G14" s="14">
        <v>0.1</v>
      </c>
      <c r="H14" s="15">
        <v>0.1</v>
      </c>
      <c r="I14" s="15">
        <v>0.1</v>
      </c>
      <c r="J14" s="15">
        <v>0.1</v>
      </c>
      <c r="K14" s="15">
        <v>0.1</v>
      </c>
      <c r="L14" s="15">
        <v>0.1</v>
      </c>
      <c r="M14" s="15">
        <v>0.05</v>
      </c>
      <c r="N14" s="15">
        <v>0.05</v>
      </c>
      <c r="O14" s="17">
        <v>0.05</v>
      </c>
      <c r="P14" s="15">
        <v>0.05</v>
      </c>
      <c r="Q14" s="15">
        <v>0.05</v>
      </c>
      <c r="R14" s="15">
        <v>0.05</v>
      </c>
      <c r="S14" s="15">
        <v>0.05</v>
      </c>
      <c r="T14" s="15">
        <v>0.05</v>
      </c>
      <c r="U14" s="15">
        <v>0.05</v>
      </c>
      <c r="V14" s="15">
        <v>0.05</v>
      </c>
      <c r="W14" s="15">
        <v>0.2</v>
      </c>
      <c r="X14" s="16">
        <v>0.1</v>
      </c>
      <c r="AA14" s="445"/>
      <c r="AB14" s="447" t="s">
        <v>157</v>
      </c>
      <c r="AC14" s="448"/>
      <c r="AD14" s="67" t="s">
        <v>169</v>
      </c>
      <c r="AE14" s="298">
        <f t="shared" si="0"/>
        <v>0.05</v>
      </c>
      <c r="AH14" s="76">
        <v>4000</v>
      </c>
      <c r="AI14" s="76">
        <f>AH14*AI12</f>
        <v>800</v>
      </c>
      <c r="AJ14" s="76">
        <f>AH14+AI14</f>
        <v>4800</v>
      </c>
    </row>
    <row r="15" spans="2:36" s="7" customFormat="1" ht="15" customHeight="1" x14ac:dyDescent="0.3">
      <c r="B15" s="445"/>
      <c r="C15" s="438" t="s">
        <v>183</v>
      </c>
      <c r="D15" s="439"/>
      <c r="E15" s="124" t="s">
        <v>170</v>
      </c>
      <c r="F15" s="14">
        <v>0.05</v>
      </c>
      <c r="G15" s="14">
        <v>0.1</v>
      </c>
      <c r="H15" s="15">
        <v>0.15</v>
      </c>
      <c r="I15" s="15">
        <v>0.1</v>
      </c>
      <c r="J15" s="15">
        <v>0.15</v>
      </c>
      <c r="K15" s="15">
        <v>0.1</v>
      </c>
      <c r="L15" s="15">
        <v>0.15</v>
      </c>
      <c r="M15" s="15">
        <v>0.05</v>
      </c>
      <c r="N15" s="15">
        <v>0.5</v>
      </c>
      <c r="O15" s="15">
        <v>0.15</v>
      </c>
      <c r="P15" s="17">
        <v>0.05</v>
      </c>
      <c r="Q15" s="15">
        <v>0.15</v>
      </c>
      <c r="R15" s="15">
        <v>0.05</v>
      </c>
      <c r="S15" s="15">
        <v>0.05</v>
      </c>
      <c r="T15" s="15">
        <v>0.05</v>
      </c>
      <c r="U15" s="15">
        <v>0.05</v>
      </c>
      <c r="V15" s="15">
        <v>0.05</v>
      </c>
      <c r="W15" s="15">
        <v>0.5</v>
      </c>
      <c r="X15" s="16">
        <v>0.05</v>
      </c>
      <c r="AA15" s="445"/>
      <c r="AB15" s="441" t="s">
        <v>183</v>
      </c>
      <c r="AC15" s="441"/>
      <c r="AD15" s="67" t="s">
        <v>170</v>
      </c>
      <c r="AE15" s="298">
        <f t="shared" si="0"/>
        <v>0.05</v>
      </c>
      <c r="AH15" s="76">
        <f>AH14*AH13</f>
        <v>400000</v>
      </c>
      <c r="AI15" s="80">
        <f>AH15*AI12</f>
        <v>80000</v>
      </c>
      <c r="AJ15" s="76">
        <f>AH15+AI15</f>
        <v>480000</v>
      </c>
    </row>
    <row r="16" spans="2:36" s="7" customFormat="1" ht="15" customHeight="1" x14ac:dyDescent="0.3">
      <c r="B16" s="445"/>
      <c r="C16" s="438" t="s">
        <v>33</v>
      </c>
      <c r="D16" s="439"/>
      <c r="E16" s="124" t="s">
        <v>177</v>
      </c>
      <c r="F16" s="14">
        <f>+Q16</f>
        <v>0.1</v>
      </c>
      <c r="G16" s="14">
        <v>0.05</v>
      </c>
      <c r="H16" s="15">
        <v>0.05</v>
      </c>
      <c r="I16" s="15">
        <v>0.1</v>
      </c>
      <c r="J16" s="15">
        <v>0.15</v>
      </c>
      <c r="K16" s="15">
        <v>0.15</v>
      </c>
      <c r="L16" s="15">
        <v>0.15</v>
      </c>
      <c r="M16" s="15">
        <v>0.05</v>
      </c>
      <c r="N16" s="15">
        <v>0.5</v>
      </c>
      <c r="O16" s="15">
        <v>0.15</v>
      </c>
      <c r="P16" s="15">
        <v>0.05</v>
      </c>
      <c r="Q16" s="17">
        <v>0.1</v>
      </c>
      <c r="R16" s="15">
        <v>0.05</v>
      </c>
      <c r="S16" s="15">
        <v>0.05</v>
      </c>
      <c r="T16" s="15">
        <v>0.05</v>
      </c>
      <c r="U16" s="15">
        <v>0.05</v>
      </c>
      <c r="V16" s="15">
        <v>0.05</v>
      </c>
      <c r="W16" s="15">
        <v>0.5</v>
      </c>
      <c r="X16" s="16">
        <v>0.1</v>
      </c>
      <c r="AA16" s="445"/>
      <c r="AB16" s="441" t="s">
        <v>33</v>
      </c>
      <c r="AC16" s="441"/>
      <c r="AD16" s="67" t="s">
        <v>177</v>
      </c>
      <c r="AE16" s="298">
        <f t="shared" si="0"/>
        <v>0.1</v>
      </c>
      <c r="AH16" s="76"/>
      <c r="AI16" s="76"/>
      <c r="AJ16" s="76"/>
    </row>
    <row r="17" spans="2:41" s="7" customFormat="1" ht="15" customHeight="1" x14ac:dyDescent="0.3">
      <c r="B17" s="445"/>
      <c r="C17" s="438" t="s">
        <v>34</v>
      </c>
      <c r="D17" s="439"/>
      <c r="E17" s="124" t="s">
        <v>171</v>
      </c>
      <c r="F17" s="14">
        <v>0.05</v>
      </c>
      <c r="G17" s="14">
        <v>0.1</v>
      </c>
      <c r="H17" s="15">
        <v>0.15</v>
      </c>
      <c r="I17" s="15">
        <v>0.1</v>
      </c>
      <c r="J17" s="15">
        <v>0.15</v>
      </c>
      <c r="K17" s="15">
        <v>0.1</v>
      </c>
      <c r="L17" s="15">
        <v>0.15</v>
      </c>
      <c r="M17" s="15">
        <v>0.05</v>
      </c>
      <c r="N17" s="15">
        <v>0.5</v>
      </c>
      <c r="O17" s="15">
        <v>0.1</v>
      </c>
      <c r="P17" s="15">
        <v>0.05</v>
      </c>
      <c r="Q17" s="15">
        <v>0.05</v>
      </c>
      <c r="R17" s="17">
        <v>0.05</v>
      </c>
      <c r="S17" s="15">
        <v>0.05</v>
      </c>
      <c r="T17" s="15">
        <v>0.05</v>
      </c>
      <c r="U17" s="15">
        <v>0.05</v>
      </c>
      <c r="V17" s="15">
        <v>0.05</v>
      </c>
      <c r="W17" s="15">
        <v>0.5</v>
      </c>
      <c r="X17" s="16">
        <v>0.05</v>
      </c>
      <c r="AA17" s="445"/>
      <c r="AB17" s="441" t="s">
        <v>34</v>
      </c>
      <c r="AC17" s="441"/>
      <c r="AD17" s="67" t="s">
        <v>171</v>
      </c>
      <c r="AE17" s="298">
        <f t="shared" si="0"/>
        <v>0.05</v>
      </c>
      <c r="AG17" s="7">
        <v>1</v>
      </c>
      <c r="AH17" s="7" t="s">
        <v>189</v>
      </c>
      <c r="AI17"/>
      <c r="AJ17"/>
      <c r="AL17" s="79">
        <v>0</v>
      </c>
      <c r="AM17"/>
      <c r="AN17"/>
      <c r="AO17"/>
    </row>
    <row r="18" spans="2:41" s="7" customFormat="1" ht="15" customHeight="1" x14ac:dyDescent="0.3">
      <c r="B18" s="445"/>
      <c r="C18" s="438" t="s">
        <v>35</v>
      </c>
      <c r="D18" s="439"/>
      <c r="E18" s="124" t="s">
        <v>172</v>
      </c>
      <c r="F18" s="14">
        <v>0.05</v>
      </c>
      <c r="G18" s="14">
        <v>0.05</v>
      </c>
      <c r="H18" s="15">
        <v>0.15</v>
      </c>
      <c r="I18" s="15">
        <v>0.1</v>
      </c>
      <c r="J18" s="15">
        <v>0.15</v>
      </c>
      <c r="K18" s="15">
        <v>0.1</v>
      </c>
      <c r="L18" s="15">
        <v>0.2</v>
      </c>
      <c r="M18" s="15">
        <v>0.05</v>
      </c>
      <c r="N18" s="15">
        <v>0.2</v>
      </c>
      <c r="O18" s="15">
        <v>0.1</v>
      </c>
      <c r="P18" s="15">
        <v>0.05</v>
      </c>
      <c r="Q18" s="15">
        <v>0.05</v>
      </c>
      <c r="R18" s="15">
        <v>0.05</v>
      </c>
      <c r="S18" s="17">
        <v>0.05</v>
      </c>
      <c r="T18" s="15">
        <v>0.05</v>
      </c>
      <c r="U18" s="15">
        <v>0.05</v>
      </c>
      <c r="V18" s="15">
        <v>0.05</v>
      </c>
      <c r="W18" s="15">
        <v>0.2</v>
      </c>
      <c r="X18" s="16">
        <v>0.05</v>
      </c>
      <c r="AA18" s="445"/>
      <c r="AB18" s="441" t="s">
        <v>35</v>
      </c>
      <c r="AC18" s="441"/>
      <c r="AD18" s="67" t="s">
        <v>172</v>
      </c>
      <c r="AE18" s="298">
        <f t="shared" si="0"/>
        <v>0.05</v>
      </c>
      <c r="AG18" s="7">
        <v>2</v>
      </c>
      <c r="AH18" s="7" t="s">
        <v>190</v>
      </c>
      <c r="AI18"/>
      <c r="AJ18"/>
      <c r="AK18" s="78"/>
      <c r="AL18" s="79">
        <v>0.05</v>
      </c>
      <c r="AM18"/>
      <c r="AN18"/>
      <c r="AO18"/>
    </row>
    <row r="19" spans="2:41" s="7" customFormat="1" ht="15" customHeight="1" x14ac:dyDescent="0.3">
      <c r="B19" s="445"/>
      <c r="C19" s="438" t="s">
        <v>36</v>
      </c>
      <c r="D19" s="439"/>
      <c r="E19" s="124" t="s">
        <v>178</v>
      </c>
      <c r="F19" s="14">
        <v>0.05</v>
      </c>
      <c r="G19" s="14">
        <v>0.1</v>
      </c>
      <c r="H19" s="15">
        <v>0.15</v>
      </c>
      <c r="I19" s="15">
        <v>0.1</v>
      </c>
      <c r="J19" s="15">
        <v>0.15</v>
      </c>
      <c r="K19" s="15">
        <v>0.1</v>
      </c>
      <c r="L19" s="15">
        <v>0.15</v>
      </c>
      <c r="M19" s="15">
        <v>0.05</v>
      </c>
      <c r="N19" s="15">
        <v>0.15</v>
      </c>
      <c r="O19" s="15">
        <v>0.05</v>
      </c>
      <c r="P19" s="15">
        <v>0.05</v>
      </c>
      <c r="Q19" s="15">
        <v>0.05</v>
      </c>
      <c r="R19" s="15">
        <v>0.05</v>
      </c>
      <c r="S19" s="15">
        <v>0.05</v>
      </c>
      <c r="T19" s="17">
        <v>0.05</v>
      </c>
      <c r="U19" s="15">
        <v>0.05</v>
      </c>
      <c r="V19" s="15">
        <v>0.05</v>
      </c>
      <c r="W19" s="15">
        <v>0.15</v>
      </c>
      <c r="X19" s="16">
        <v>0.05</v>
      </c>
      <c r="AA19" s="445"/>
      <c r="AB19" s="441" t="s">
        <v>36</v>
      </c>
      <c r="AC19" s="441"/>
      <c r="AD19" s="67" t="s">
        <v>178</v>
      </c>
      <c r="AE19" s="298">
        <f t="shared" si="0"/>
        <v>0.05</v>
      </c>
      <c r="AG19" s="7">
        <v>3</v>
      </c>
      <c r="AH19" s="7" t="s">
        <v>191</v>
      </c>
      <c r="AI19"/>
      <c r="AJ19"/>
      <c r="AL19" s="79">
        <v>0.1</v>
      </c>
      <c r="AM19"/>
      <c r="AN19"/>
      <c r="AO19"/>
    </row>
    <row r="20" spans="2:41" s="7" customFormat="1" ht="15" customHeight="1" x14ac:dyDescent="0.3">
      <c r="B20" s="445"/>
      <c r="C20" s="438" t="s">
        <v>184</v>
      </c>
      <c r="D20" s="440"/>
      <c r="E20" s="124" t="s">
        <v>173</v>
      </c>
      <c r="F20" s="14">
        <v>0.05</v>
      </c>
      <c r="G20" s="14">
        <v>0.05</v>
      </c>
      <c r="H20" s="15">
        <v>0.5</v>
      </c>
      <c r="I20" s="15">
        <v>0.05</v>
      </c>
      <c r="J20" s="15">
        <v>0.1</v>
      </c>
      <c r="K20" s="15">
        <v>0.05</v>
      </c>
      <c r="L20" s="15">
        <v>0.5</v>
      </c>
      <c r="M20" s="15">
        <v>0.2</v>
      </c>
      <c r="N20" s="15">
        <v>0.5</v>
      </c>
      <c r="O20" s="15">
        <v>0.1</v>
      </c>
      <c r="P20" s="15">
        <v>0.05</v>
      </c>
      <c r="Q20" s="15">
        <v>0.05</v>
      </c>
      <c r="R20" s="15">
        <v>0.05</v>
      </c>
      <c r="S20" s="15">
        <v>0.05</v>
      </c>
      <c r="T20" s="15">
        <v>0.1</v>
      </c>
      <c r="U20" s="17">
        <v>0.05</v>
      </c>
      <c r="V20" s="15">
        <v>0.05</v>
      </c>
      <c r="W20" s="15">
        <v>0.5</v>
      </c>
      <c r="X20" s="16">
        <v>0.05</v>
      </c>
      <c r="AA20" s="445"/>
      <c r="AB20" s="441" t="s">
        <v>184</v>
      </c>
      <c r="AC20" s="442"/>
      <c r="AD20" s="68" t="s">
        <v>173</v>
      </c>
      <c r="AE20" s="298">
        <f t="shared" si="0"/>
        <v>0.05</v>
      </c>
      <c r="AG20" s="7">
        <v>4</v>
      </c>
      <c r="AH20" s="7" t="s">
        <v>192</v>
      </c>
      <c r="AI20"/>
      <c r="AJ20"/>
      <c r="AK20" s="78"/>
      <c r="AL20" s="79">
        <v>0.15</v>
      </c>
      <c r="AM20"/>
      <c r="AN20"/>
      <c r="AO20"/>
    </row>
    <row r="21" spans="2:41" s="7" customFormat="1" ht="15" customHeight="1" x14ac:dyDescent="0.3">
      <c r="B21" s="445"/>
      <c r="C21" s="438" t="s">
        <v>185</v>
      </c>
      <c r="D21" s="440"/>
      <c r="E21" s="125" t="s">
        <v>174</v>
      </c>
      <c r="F21" s="14">
        <v>0.05</v>
      </c>
      <c r="G21" s="14">
        <v>0.05</v>
      </c>
      <c r="H21" s="15">
        <v>0.2</v>
      </c>
      <c r="I21" s="15">
        <v>0.05</v>
      </c>
      <c r="J21" s="15">
        <v>0.05</v>
      </c>
      <c r="K21" s="15">
        <v>0.05</v>
      </c>
      <c r="L21" s="15">
        <v>0.2</v>
      </c>
      <c r="M21" s="15">
        <v>0.2</v>
      </c>
      <c r="N21" s="15">
        <v>0.15</v>
      </c>
      <c r="O21" s="15">
        <v>0.1</v>
      </c>
      <c r="P21" s="15">
        <v>0.05</v>
      </c>
      <c r="Q21" s="15">
        <v>0.05</v>
      </c>
      <c r="R21" s="15">
        <v>0.05</v>
      </c>
      <c r="S21" s="15">
        <v>0.05</v>
      </c>
      <c r="T21" s="15">
        <v>0.1</v>
      </c>
      <c r="U21" s="15">
        <v>0.05</v>
      </c>
      <c r="V21" s="17">
        <v>0.05</v>
      </c>
      <c r="W21" s="15">
        <v>0.2</v>
      </c>
      <c r="X21" s="16">
        <v>0.05</v>
      </c>
      <c r="AA21" s="445"/>
      <c r="AB21" s="441" t="s">
        <v>185</v>
      </c>
      <c r="AC21" s="443"/>
      <c r="AD21" s="69" t="s">
        <v>174</v>
      </c>
      <c r="AE21" s="298">
        <f t="shared" si="0"/>
        <v>0.05</v>
      </c>
      <c r="AG21" s="7">
        <v>5</v>
      </c>
      <c r="AH21" s="7" t="s">
        <v>193</v>
      </c>
      <c r="AI21"/>
      <c r="AJ21"/>
      <c r="AL21" s="79">
        <v>0.2</v>
      </c>
      <c r="AM21"/>
      <c r="AN21"/>
      <c r="AO21"/>
    </row>
    <row r="22" spans="2:41" s="7" customFormat="1" ht="15" customHeight="1" x14ac:dyDescent="0.3">
      <c r="B22" s="445"/>
      <c r="C22" s="438" t="s">
        <v>39</v>
      </c>
      <c r="D22" s="440"/>
      <c r="E22" s="124" t="s">
        <v>175</v>
      </c>
      <c r="F22" s="14">
        <v>0.05</v>
      </c>
      <c r="G22" s="14">
        <v>0.15</v>
      </c>
      <c r="H22" s="15">
        <v>0.15</v>
      </c>
      <c r="I22" s="15">
        <v>0.1</v>
      </c>
      <c r="J22" s="15">
        <v>0.1</v>
      </c>
      <c r="K22" s="15">
        <v>0.1</v>
      </c>
      <c r="L22" s="15">
        <v>0.15</v>
      </c>
      <c r="M22" s="15">
        <v>0.05</v>
      </c>
      <c r="N22" s="15">
        <v>0.05</v>
      </c>
      <c r="O22" s="15">
        <v>0.05</v>
      </c>
      <c r="P22" s="15">
        <v>0.05</v>
      </c>
      <c r="Q22" s="15">
        <v>0.05</v>
      </c>
      <c r="R22" s="15">
        <v>0.05</v>
      </c>
      <c r="S22" s="15">
        <v>0.05</v>
      </c>
      <c r="T22" s="15">
        <v>0.05</v>
      </c>
      <c r="U22" s="15">
        <v>0.05</v>
      </c>
      <c r="V22" s="15">
        <v>0.05</v>
      </c>
      <c r="W22" s="17">
        <v>0.05</v>
      </c>
      <c r="X22" s="16">
        <v>0.15</v>
      </c>
      <c r="AA22" s="445"/>
      <c r="AB22" s="441" t="s">
        <v>39</v>
      </c>
      <c r="AC22" s="442"/>
      <c r="AD22" s="68" t="s">
        <v>175</v>
      </c>
      <c r="AE22" s="298">
        <f t="shared" si="0"/>
        <v>0.05</v>
      </c>
      <c r="AG22" s="7">
        <v>6</v>
      </c>
      <c r="AH22" s="7" t="s">
        <v>194</v>
      </c>
      <c r="AI22"/>
      <c r="AJ22"/>
      <c r="AK22"/>
      <c r="AL22" s="79">
        <v>0.5</v>
      </c>
      <c r="AM22"/>
      <c r="AN22"/>
      <c r="AO22"/>
    </row>
    <row r="23" spans="2:41" s="7" customFormat="1" ht="15" customHeight="1" x14ac:dyDescent="0.3">
      <c r="B23" s="446"/>
      <c r="C23" s="438" t="s">
        <v>37</v>
      </c>
      <c r="D23" s="440"/>
      <c r="E23" s="124" t="s">
        <v>176</v>
      </c>
      <c r="F23" s="18">
        <v>0.05</v>
      </c>
      <c r="G23" s="18">
        <v>0.05</v>
      </c>
      <c r="H23" s="19">
        <v>0.1</v>
      </c>
      <c r="I23" s="19">
        <v>0.05</v>
      </c>
      <c r="J23" s="19">
        <v>0.05</v>
      </c>
      <c r="K23" s="19">
        <v>0.05</v>
      </c>
      <c r="L23" s="19">
        <v>0.1</v>
      </c>
      <c r="M23" s="19">
        <v>0.05</v>
      </c>
      <c r="N23" s="19">
        <v>0.2</v>
      </c>
      <c r="O23" s="19">
        <v>0.05</v>
      </c>
      <c r="P23" s="19">
        <v>0.05</v>
      </c>
      <c r="Q23" s="19">
        <v>0.05</v>
      </c>
      <c r="R23" s="19">
        <v>0.05</v>
      </c>
      <c r="S23" s="19">
        <v>0.05</v>
      </c>
      <c r="T23" s="19">
        <v>0.05</v>
      </c>
      <c r="U23" s="19">
        <v>0.05</v>
      </c>
      <c r="V23" s="19">
        <v>0.05</v>
      </c>
      <c r="W23" s="19">
        <v>0.2</v>
      </c>
      <c r="X23" s="20">
        <v>0.05</v>
      </c>
      <c r="AA23" s="446"/>
      <c r="AB23" s="441" t="s">
        <v>37</v>
      </c>
      <c r="AC23" s="442"/>
      <c r="AD23" s="68" t="s">
        <v>176</v>
      </c>
      <c r="AE23" s="298">
        <f t="shared" si="0"/>
        <v>0.05</v>
      </c>
    </row>
    <row r="24" spans="2:41" ht="12.75" customHeight="1" x14ac:dyDescent="0.3"/>
    <row r="26" spans="2:41" x14ac:dyDescent="0.3">
      <c r="C26" s="1" t="s">
        <v>419</v>
      </c>
    </row>
    <row r="27" spans="2:41" x14ac:dyDescent="0.3">
      <c r="C27" s="1" t="s">
        <v>424</v>
      </c>
    </row>
  </sheetData>
  <mergeCells count="58">
    <mergeCell ref="X3:X4"/>
    <mergeCell ref="B2:D4"/>
    <mergeCell ref="G2:X2"/>
    <mergeCell ref="L3:L4"/>
    <mergeCell ref="M3:M4"/>
    <mergeCell ref="P3:P4"/>
    <mergeCell ref="Q3:Q4"/>
    <mergeCell ref="R3:R4"/>
    <mergeCell ref="S3:S4"/>
    <mergeCell ref="T3:T4"/>
    <mergeCell ref="G3:G4"/>
    <mergeCell ref="H3:H4"/>
    <mergeCell ref="I3:I4"/>
    <mergeCell ref="J3:J4"/>
    <mergeCell ref="K3:K4"/>
    <mergeCell ref="U3:U4"/>
    <mergeCell ref="V3:V4"/>
    <mergeCell ref="W3:W4"/>
    <mergeCell ref="N3:N4"/>
    <mergeCell ref="O3:O4"/>
    <mergeCell ref="B6:B23"/>
    <mergeCell ref="C11:D11"/>
    <mergeCell ref="C12:D12"/>
    <mergeCell ref="C15:D15"/>
    <mergeCell ref="C16:D16"/>
    <mergeCell ref="C22:D22"/>
    <mergeCell ref="C17:D17"/>
    <mergeCell ref="C18:D18"/>
    <mergeCell ref="C19:D19"/>
    <mergeCell ref="C10:D10"/>
    <mergeCell ref="C13:D13"/>
    <mergeCell ref="C14:D14"/>
    <mergeCell ref="AB18:AC18"/>
    <mergeCell ref="AB12:AC12"/>
    <mergeCell ref="AB13:AC13"/>
    <mergeCell ref="AB14:AC14"/>
    <mergeCell ref="AB15:AC15"/>
    <mergeCell ref="C6:D6"/>
    <mergeCell ref="C7:D7"/>
    <mergeCell ref="C8:D8"/>
    <mergeCell ref="C9:D9"/>
    <mergeCell ref="C21:D21"/>
    <mergeCell ref="AB8:AC8"/>
    <mergeCell ref="AB9:AC9"/>
    <mergeCell ref="C23:D23"/>
    <mergeCell ref="AB20:AC20"/>
    <mergeCell ref="AB16:AC16"/>
    <mergeCell ref="AB17:AC17"/>
    <mergeCell ref="AB21:AC21"/>
    <mergeCell ref="AB22:AC22"/>
    <mergeCell ref="AB23:AC23"/>
    <mergeCell ref="AA6:AA23"/>
    <mergeCell ref="AB6:AC6"/>
    <mergeCell ref="AB7:AC7"/>
    <mergeCell ref="AB19:AC19"/>
    <mergeCell ref="AB10:AC10"/>
    <mergeCell ref="AB11:AC11"/>
    <mergeCell ref="C20:D20"/>
  </mergeCells>
  <conditionalFormatting sqref="G6:X23">
    <cfRule type="cellIs" dxfId="3" priority="5" operator="equal">
      <formula>0.05</formula>
    </cfRule>
  </conditionalFormatting>
  <conditionalFormatting sqref="F6:X23">
    <cfRule type="cellIs" dxfId="2" priority="4" operator="greaterThan">
      <formula>0.1</formula>
    </cfRule>
  </conditionalFormatting>
  <conditionalFormatting sqref="G6:X23">
    <cfRule type="cellIs" dxfId="1" priority="2" operator="equal">
      <formula>0.05</formula>
    </cfRule>
  </conditionalFormatting>
  <conditionalFormatting sqref="G6:X23"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"/>
  <sheetViews>
    <sheetView workbookViewId="0">
      <selection activeCell="F6" sqref="F6"/>
    </sheetView>
  </sheetViews>
  <sheetFormatPr defaultRowHeight="14.4" x14ac:dyDescent="0.3"/>
  <sheetData>
    <row r="1" spans="2:3" ht="15" thickBot="1" x14ac:dyDescent="0.35"/>
    <row r="2" spans="2:3" ht="19.2" customHeight="1" thickBot="1" x14ac:dyDescent="0.35">
      <c r="B2" s="195" t="s">
        <v>387</v>
      </c>
      <c r="C2" s="196" t="s">
        <v>388</v>
      </c>
    </row>
    <row r="3" spans="2:3" x14ac:dyDescent="0.3">
      <c r="B3" s="197">
        <v>1</v>
      </c>
      <c r="C3" s="198">
        <v>0</v>
      </c>
    </row>
    <row r="4" spans="2:3" x14ac:dyDescent="0.3">
      <c r="B4" s="199">
        <v>2</v>
      </c>
      <c r="C4" s="200">
        <v>0.05</v>
      </c>
    </row>
    <row r="5" spans="2:3" x14ac:dyDescent="0.3">
      <c r="B5" s="199">
        <v>3</v>
      </c>
      <c r="C5" s="200">
        <v>7.4999999999999997E-2</v>
      </c>
    </row>
    <row r="6" spans="2:3" ht="15" thickBot="1" x14ac:dyDescent="0.35">
      <c r="B6" s="201">
        <v>4</v>
      </c>
      <c r="C6" s="202">
        <v>0.1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C548"/>
  <sheetViews>
    <sheetView workbookViewId="0">
      <selection activeCell="B7" sqref="B7:C11"/>
    </sheetView>
  </sheetViews>
  <sheetFormatPr defaultRowHeight="14.4" x14ac:dyDescent="0.3"/>
  <cols>
    <col min="2" max="2" width="12.109375" customWidth="1"/>
  </cols>
  <sheetData>
    <row r="6" spans="2:3" x14ac:dyDescent="0.3">
      <c r="B6" t="s">
        <v>17</v>
      </c>
      <c r="C6">
        <v>0.2</v>
      </c>
    </row>
    <row r="7" spans="2:3" x14ac:dyDescent="0.3">
      <c r="B7" s="58" t="s">
        <v>15</v>
      </c>
      <c r="C7" s="60" t="s">
        <v>16</v>
      </c>
    </row>
    <row r="8" spans="2:3" x14ac:dyDescent="0.3">
      <c r="B8" s="58">
        <v>10</v>
      </c>
      <c r="C8" s="58">
        <v>0</v>
      </c>
    </row>
    <row r="9" spans="2:3" x14ac:dyDescent="0.3">
      <c r="B9" s="58">
        <f>+B8+1</f>
        <v>11</v>
      </c>
      <c r="C9" s="58">
        <f>+$C$6*(B9-$B$8)/B9</f>
        <v>1.8181818181818184E-2</v>
      </c>
    </row>
    <row r="10" spans="2:3" x14ac:dyDescent="0.3">
      <c r="B10" s="58">
        <f t="shared" ref="B10:B73" si="0">+B9+1</f>
        <v>12</v>
      </c>
      <c r="C10" s="58">
        <f t="shared" ref="C10:C73" si="1">+$C$6*(B10-$B$8)/B10</f>
        <v>3.3333333333333333E-2</v>
      </c>
    </row>
    <row r="11" spans="2:3" x14ac:dyDescent="0.3">
      <c r="B11" s="58">
        <f t="shared" si="0"/>
        <v>13</v>
      </c>
      <c r="C11" s="58">
        <f t="shared" si="1"/>
        <v>4.6153846153846163E-2</v>
      </c>
    </row>
    <row r="12" spans="2:3" x14ac:dyDescent="0.3">
      <c r="B12" s="58">
        <f t="shared" si="0"/>
        <v>14</v>
      </c>
      <c r="C12" s="58">
        <f t="shared" si="1"/>
        <v>5.7142857142857148E-2</v>
      </c>
    </row>
    <row r="13" spans="2:3" x14ac:dyDescent="0.3">
      <c r="B13" s="58">
        <f t="shared" si="0"/>
        <v>15</v>
      </c>
      <c r="C13" s="58">
        <f t="shared" si="1"/>
        <v>6.6666666666666666E-2</v>
      </c>
    </row>
    <row r="14" spans="2:3" x14ac:dyDescent="0.3">
      <c r="B14" s="58">
        <f t="shared" si="0"/>
        <v>16</v>
      </c>
      <c r="C14" s="58">
        <f t="shared" si="1"/>
        <v>7.5000000000000011E-2</v>
      </c>
    </row>
    <row r="15" spans="2:3" x14ac:dyDescent="0.3">
      <c r="B15" s="58">
        <f t="shared" si="0"/>
        <v>17</v>
      </c>
      <c r="C15" s="58">
        <f t="shared" si="1"/>
        <v>8.2352941176470601E-2</v>
      </c>
    </row>
    <row r="16" spans="2:3" x14ac:dyDescent="0.3">
      <c r="B16" s="58">
        <f t="shared" si="0"/>
        <v>18</v>
      </c>
      <c r="C16" s="58">
        <f t="shared" si="1"/>
        <v>8.8888888888888892E-2</v>
      </c>
    </row>
    <row r="17" spans="2:3" x14ac:dyDescent="0.3">
      <c r="B17" s="58">
        <f t="shared" si="0"/>
        <v>19</v>
      </c>
      <c r="C17" s="58">
        <f t="shared" si="1"/>
        <v>9.4736842105263161E-2</v>
      </c>
    </row>
    <row r="18" spans="2:3" x14ac:dyDescent="0.3">
      <c r="B18" s="58">
        <f t="shared" si="0"/>
        <v>20</v>
      </c>
      <c r="C18" s="58">
        <f t="shared" si="1"/>
        <v>0.1</v>
      </c>
    </row>
    <row r="19" spans="2:3" x14ac:dyDescent="0.3">
      <c r="B19" s="58">
        <f t="shared" si="0"/>
        <v>21</v>
      </c>
      <c r="C19" s="58">
        <f t="shared" si="1"/>
        <v>0.10476190476190476</v>
      </c>
    </row>
    <row r="20" spans="2:3" x14ac:dyDescent="0.3">
      <c r="B20" s="58">
        <f t="shared" si="0"/>
        <v>22</v>
      </c>
      <c r="C20" s="58">
        <f t="shared" si="1"/>
        <v>0.10909090909090911</v>
      </c>
    </row>
    <row r="21" spans="2:3" x14ac:dyDescent="0.3">
      <c r="B21" s="58">
        <f t="shared" si="0"/>
        <v>23</v>
      </c>
      <c r="C21" s="58">
        <f t="shared" si="1"/>
        <v>0.11304347826086956</v>
      </c>
    </row>
    <row r="22" spans="2:3" x14ac:dyDescent="0.3">
      <c r="B22" s="58">
        <f t="shared" si="0"/>
        <v>24</v>
      </c>
      <c r="C22" s="58">
        <f t="shared" si="1"/>
        <v>0.11666666666666668</v>
      </c>
    </row>
    <row r="23" spans="2:3" x14ac:dyDescent="0.3">
      <c r="B23" s="58">
        <f t="shared" si="0"/>
        <v>25</v>
      </c>
      <c r="C23" s="58">
        <f t="shared" si="1"/>
        <v>0.12</v>
      </c>
    </row>
    <row r="24" spans="2:3" x14ac:dyDescent="0.3">
      <c r="B24" s="58">
        <f t="shared" si="0"/>
        <v>26</v>
      </c>
      <c r="C24" s="58">
        <f t="shared" si="1"/>
        <v>0.12307692307692308</v>
      </c>
    </row>
    <row r="25" spans="2:3" x14ac:dyDescent="0.3">
      <c r="B25" s="58">
        <f t="shared" si="0"/>
        <v>27</v>
      </c>
      <c r="C25" s="58">
        <f t="shared" si="1"/>
        <v>0.12592592592592594</v>
      </c>
    </row>
    <row r="26" spans="2:3" x14ac:dyDescent="0.3">
      <c r="B26" s="58">
        <f t="shared" si="0"/>
        <v>28</v>
      </c>
      <c r="C26" s="58">
        <f t="shared" si="1"/>
        <v>0.12857142857142859</v>
      </c>
    </row>
    <row r="27" spans="2:3" x14ac:dyDescent="0.3">
      <c r="B27" s="58">
        <f t="shared" si="0"/>
        <v>29</v>
      </c>
      <c r="C27" s="58">
        <f t="shared" si="1"/>
        <v>0.1310344827586207</v>
      </c>
    </row>
    <row r="28" spans="2:3" x14ac:dyDescent="0.3">
      <c r="B28" s="58">
        <f t="shared" si="0"/>
        <v>30</v>
      </c>
      <c r="C28" s="58">
        <f t="shared" si="1"/>
        <v>0.13333333333333333</v>
      </c>
    </row>
    <row r="29" spans="2:3" x14ac:dyDescent="0.3">
      <c r="B29" s="58">
        <f t="shared" si="0"/>
        <v>31</v>
      </c>
      <c r="C29" s="58">
        <f t="shared" si="1"/>
        <v>0.13548387096774195</v>
      </c>
    </row>
    <row r="30" spans="2:3" x14ac:dyDescent="0.3">
      <c r="B30" s="58">
        <f t="shared" si="0"/>
        <v>32</v>
      </c>
      <c r="C30" s="58">
        <f t="shared" si="1"/>
        <v>0.13750000000000001</v>
      </c>
    </row>
    <row r="31" spans="2:3" x14ac:dyDescent="0.3">
      <c r="B31" s="58">
        <f t="shared" si="0"/>
        <v>33</v>
      </c>
      <c r="C31" s="58">
        <f t="shared" si="1"/>
        <v>0.1393939393939394</v>
      </c>
    </row>
    <row r="32" spans="2:3" x14ac:dyDescent="0.3">
      <c r="B32" s="58">
        <f t="shared" si="0"/>
        <v>34</v>
      </c>
      <c r="C32" s="58">
        <f t="shared" si="1"/>
        <v>0.14117647058823532</v>
      </c>
    </row>
    <row r="33" spans="2:3" x14ac:dyDescent="0.3">
      <c r="B33" s="58">
        <f t="shared" si="0"/>
        <v>35</v>
      </c>
      <c r="C33" s="58">
        <f t="shared" si="1"/>
        <v>0.14285714285714285</v>
      </c>
    </row>
    <row r="34" spans="2:3" x14ac:dyDescent="0.3">
      <c r="B34" s="58">
        <f t="shared" si="0"/>
        <v>36</v>
      </c>
      <c r="C34" s="58">
        <f t="shared" si="1"/>
        <v>0.14444444444444446</v>
      </c>
    </row>
    <row r="35" spans="2:3" x14ac:dyDescent="0.3">
      <c r="B35" s="58">
        <f t="shared" si="0"/>
        <v>37</v>
      </c>
      <c r="C35" s="58">
        <f t="shared" si="1"/>
        <v>0.14594594594594595</v>
      </c>
    </row>
    <row r="36" spans="2:3" x14ac:dyDescent="0.3">
      <c r="B36" s="58">
        <f t="shared" si="0"/>
        <v>38</v>
      </c>
      <c r="C36" s="58">
        <f t="shared" si="1"/>
        <v>0.14736842105263159</v>
      </c>
    </row>
    <row r="37" spans="2:3" x14ac:dyDescent="0.3">
      <c r="B37" s="58">
        <f t="shared" si="0"/>
        <v>39</v>
      </c>
      <c r="C37" s="58">
        <f t="shared" si="1"/>
        <v>0.14871794871794874</v>
      </c>
    </row>
    <row r="38" spans="2:3" x14ac:dyDescent="0.3">
      <c r="B38" s="58">
        <f t="shared" si="0"/>
        <v>40</v>
      </c>
      <c r="C38" s="58">
        <f t="shared" si="1"/>
        <v>0.15</v>
      </c>
    </row>
    <row r="39" spans="2:3" x14ac:dyDescent="0.3">
      <c r="B39" s="58">
        <f t="shared" si="0"/>
        <v>41</v>
      </c>
      <c r="C39" s="58">
        <f t="shared" si="1"/>
        <v>0.15121951219512195</v>
      </c>
    </row>
    <row r="40" spans="2:3" x14ac:dyDescent="0.3">
      <c r="B40" s="58">
        <f t="shared" si="0"/>
        <v>42</v>
      </c>
      <c r="C40" s="58">
        <f t="shared" si="1"/>
        <v>0.15238095238095239</v>
      </c>
    </row>
    <row r="41" spans="2:3" x14ac:dyDescent="0.3">
      <c r="B41" s="58">
        <f t="shared" si="0"/>
        <v>43</v>
      </c>
      <c r="C41" s="58">
        <f t="shared" si="1"/>
        <v>0.15348837209302327</v>
      </c>
    </row>
    <row r="42" spans="2:3" x14ac:dyDescent="0.3">
      <c r="B42" s="58">
        <f t="shared" si="0"/>
        <v>44</v>
      </c>
      <c r="C42" s="58">
        <f t="shared" si="1"/>
        <v>0.15454545454545457</v>
      </c>
    </row>
    <row r="43" spans="2:3" x14ac:dyDescent="0.3">
      <c r="B43" s="58">
        <f t="shared" si="0"/>
        <v>45</v>
      </c>
      <c r="C43" s="58">
        <f t="shared" si="1"/>
        <v>0.15555555555555556</v>
      </c>
    </row>
    <row r="44" spans="2:3" x14ac:dyDescent="0.3">
      <c r="B44" s="58">
        <f t="shared" si="0"/>
        <v>46</v>
      </c>
      <c r="C44" s="58">
        <f t="shared" si="1"/>
        <v>0.15652173913043479</v>
      </c>
    </row>
    <row r="45" spans="2:3" x14ac:dyDescent="0.3">
      <c r="B45" s="58">
        <f t="shared" si="0"/>
        <v>47</v>
      </c>
      <c r="C45" s="58">
        <f t="shared" si="1"/>
        <v>0.1574468085106383</v>
      </c>
    </row>
    <row r="46" spans="2:3" x14ac:dyDescent="0.3">
      <c r="B46" s="58">
        <f t="shared" si="0"/>
        <v>48</v>
      </c>
      <c r="C46" s="58">
        <f t="shared" si="1"/>
        <v>0.15833333333333335</v>
      </c>
    </row>
    <row r="47" spans="2:3" x14ac:dyDescent="0.3">
      <c r="B47" s="58">
        <f t="shared" si="0"/>
        <v>49</v>
      </c>
      <c r="C47" s="58">
        <f t="shared" si="1"/>
        <v>0.15918367346938778</v>
      </c>
    </row>
    <row r="48" spans="2:3" x14ac:dyDescent="0.3">
      <c r="B48" s="58">
        <f t="shared" si="0"/>
        <v>50</v>
      </c>
      <c r="C48" s="58">
        <f t="shared" si="1"/>
        <v>0.16</v>
      </c>
    </row>
    <row r="49" spans="2:3" x14ac:dyDescent="0.3">
      <c r="B49" s="58">
        <f t="shared" si="0"/>
        <v>51</v>
      </c>
      <c r="C49" s="58">
        <f t="shared" si="1"/>
        <v>0.16078431372549021</v>
      </c>
    </row>
    <row r="50" spans="2:3" x14ac:dyDescent="0.3">
      <c r="B50" s="58">
        <f t="shared" si="0"/>
        <v>52</v>
      </c>
      <c r="C50" s="58">
        <f t="shared" si="1"/>
        <v>0.16153846153846155</v>
      </c>
    </row>
    <row r="51" spans="2:3" x14ac:dyDescent="0.3">
      <c r="B51" s="58">
        <f t="shared" si="0"/>
        <v>53</v>
      </c>
      <c r="C51" s="58">
        <f t="shared" si="1"/>
        <v>0.16226415094339622</v>
      </c>
    </row>
    <row r="52" spans="2:3" x14ac:dyDescent="0.3">
      <c r="B52" s="58">
        <f t="shared" si="0"/>
        <v>54</v>
      </c>
      <c r="C52" s="58">
        <f t="shared" si="1"/>
        <v>0.16296296296296298</v>
      </c>
    </row>
    <row r="53" spans="2:3" x14ac:dyDescent="0.3">
      <c r="B53" s="58">
        <f t="shared" si="0"/>
        <v>55</v>
      </c>
      <c r="C53" s="58">
        <f t="shared" si="1"/>
        <v>0.16363636363636364</v>
      </c>
    </row>
    <row r="54" spans="2:3" x14ac:dyDescent="0.3">
      <c r="B54" s="58">
        <f t="shared" si="0"/>
        <v>56</v>
      </c>
      <c r="C54" s="58">
        <f t="shared" si="1"/>
        <v>0.16428571428571431</v>
      </c>
    </row>
    <row r="55" spans="2:3" x14ac:dyDescent="0.3">
      <c r="B55" s="58">
        <f t="shared" si="0"/>
        <v>57</v>
      </c>
      <c r="C55" s="58">
        <f t="shared" si="1"/>
        <v>0.1649122807017544</v>
      </c>
    </row>
    <row r="56" spans="2:3" x14ac:dyDescent="0.3">
      <c r="B56" s="58">
        <f t="shared" si="0"/>
        <v>58</v>
      </c>
      <c r="C56" s="58">
        <f t="shared" si="1"/>
        <v>0.16551724137931037</v>
      </c>
    </row>
    <row r="57" spans="2:3" x14ac:dyDescent="0.3">
      <c r="B57" s="58">
        <f t="shared" si="0"/>
        <v>59</v>
      </c>
      <c r="C57" s="58">
        <f t="shared" si="1"/>
        <v>0.16610169491525426</v>
      </c>
    </row>
    <row r="58" spans="2:3" x14ac:dyDescent="0.3">
      <c r="B58" s="58">
        <f t="shared" si="0"/>
        <v>60</v>
      </c>
      <c r="C58" s="58">
        <f t="shared" si="1"/>
        <v>0.16666666666666666</v>
      </c>
    </row>
    <row r="59" spans="2:3" x14ac:dyDescent="0.3">
      <c r="B59" s="58">
        <f t="shared" si="0"/>
        <v>61</v>
      </c>
      <c r="C59" s="58">
        <f t="shared" si="1"/>
        <v>0.16721311475409839</v>
      </c>
    </row>
    <row r="60" spans="2:3" x14ac:dyDescent="0.3">
      <c r="B60" s="58">
        <f t="shared" si="0"/>
        <v>62</v>
      </c>
      <c r="C60" s="58">
        <f t="shared" si="1"/>
        <v>0.16774193548387098</v>
      </c>
    </row>
    <row r="61" spans="2:3" x14ac:dyDescent="0.3">
      <c r="B61" s="58">
        <f t="shared" si="0"/>
        <v>63</v>
      </c>
      <c r="C61" s="58">
        <f t="shared" si="1"/>
        <v>0.16825396825396827</v>
      </c>
    </row>
    <row r="62" spans="2:3" x14ac:dyDescent="0.3">
      <c r="B62" s="58">
        <f t="shared" si="0"/>
        <v>64</v>
      </c>
      <c r="C62" s="58">
        <f t="shared" si="1"/>
        <v>0.16875000000000001</v>
      </c>
    </row>
    <row r="63" spans="2:3" x14ac:dyDescent="0.3">
      <c r="B63" s="58">
        <f t="shared" si="0"/>
        <v>65</v>
      </c>
      <c r="C63" s="58">
        <f t="shared" si="1"/>
        <v>0.16923076923076924</v>
      </c>
    </row>
    <row r="64" spans="2:3" x14ac:dyDescent="0.3">
      <c r="B64" s="58">
        <f t="shared" si="0"/>
        <v>66</v>
      </c>
      <c r="C64" s="58">
        <f t="shared" si="1"/>
        <v>0.16969696969696971</v>
      </c>
    </row>
    <row r="65" spans="2:3" x14ac:dyDescent="0.3">
      <c r="B65" s="58">
        <f t="shared" si="0"/>
        <v>67</v>
      </c>
      <c r="C65" s="58">
        <f t="shared" si="1"/>
        <v>0.17014925373134329</v>
      </c>
    </row>
    <row r="66" spans="2:3" x14ac:dyDescent="0.3">
      <c r="B66" s="58">
        <f t="shared" si="0"/>
        <v>68</v>
      </c>
      <c r="C66" s="58">
        <f t="shared" si="1"/>
        <v>0.17058823529411768</v>
      </c>
    </row>
    <row r="67" spans="2:3" x14ac:dyDescent="0.3">
      <c r="B67" s="58">
        <f t="shared" si="0"/>
        <v>69</v>
      </c>
      <c r="C67" s="58">
        <f t="shared" si="1"/>
        <v>0.17101449275362321</v>
      </c>
    </row>
    <row r="68" spans="2:3" x14ac:dyDescent="0.3">
      <c r="B68" s="58">
        <f t="shared" si="0"/>
        <v>70</v>
      </c>
      <c r="C68" s="58">
        <f t="shared" si="1"/>
        <v>0.17142857142857143</v>
      </c>
    </row>
    <row r="69" spans="2:3" x14ac:dyDescent="0.3">
      <c r="B69" s="58">
        <f t="shared" si="0"/>
        <v>71</v>
      </c>
      <c r="C69" s="58">
        <f t="shared" si="1"/>
        <v>0.17183098591549298</v>
      </c>
    </row>
    <row r="70" spans="2:3" x14ac:dyDescent="0.3">
      <c r="B70" s="58">
        <f t="shared" si="0"/>
        <v>72</v>
      </c>
      <c r="C70" s="58">
        <f t="shared" si="1"/>
        <v>0.17222222222222222</v>
      </c>
    </row>
    <row r="71" spans="2:3" x14ac:dyDescent="0.3">
      <c r="B71" s="58">
        <f t="shared" si="0"/>
        <v>73</v>
      </c>
      <c r="C71" s="58">
        <f t="shared" si="1"/>
        <v>0.17260273972602741</v>
      </c>
    </row>
    <row r="72" spans="2:3" x14ac:dyDescent="0.3">
      <c r="B72" s="58">
        <f t="shared" si="0"/>
        <v>74</v>
      </c>
      <c r="C72" s="58">
        <f t="shared" si="1"/>
        <v>0.17297297297297298</v>
      </c>
    </row>
    <row r="73" spans="2:3" x14ac:dyDescent="0.3">
      <c r="B73" s="58">
        <f t="shared" si="0"/>
        <v>75</v>
      </c>
      <c r="C73" s="58">
        <f t="shared" si="1"/>
        <v>0.17333333333333334</v>
      </c>
    </row>
    <row r="74" spans="2:3" x14ac:dyDescent="0.3">
      <c r="B74" s="58">
        <f t="shared" ref="B74:B137" si="2">+B73+1</f>
        <v>76</v>
      </c>
      <c r="C74" s="58">
        <f t="shared" ref="C74:C137" si="3">+$C$6*(B74-$B$8)/B74</f>
        <v>0.1736842105263158</v>
      </c>
    </row>
    <row r="75" spans="2:3" x14ac:dyDescent="0.3">
      <c r="B75" s="58">
        <f t="shared" si="2"/>
        <v>77</v>
      </c>
      <c r="C75" s="58">
        <f t="shared" si="3"/>
        <v>0.17402597402597403</v>
      </c>
    </row>
    <row r="76" spans="2:3" x14ac:dyDescent="0.3">
      <c r="B76" s="58">
        <f t="shared" si="2"/>
        <v>78</v>
      </c>
      <c r="C76" s="58">
        <f t="shared" si="3"/>
        <v>0.17435897435897438</v>
      </c>
    </row>
    <row r="77" spans="2:3" x14ac:dyDescent="0.3">
      <c r="B77" s="58">
        <f t="shared" si="2"/>
        <v>79</v>
      </c>
      <c r="C77" s="58">
        <f t="shared" si="3"/>
        <v>0.17468354430379748</v>
      </c>
    </row>
    <row r="78" spans="2:3" x14ac:dyDescent="0.3">
      <c r="B78" s="58">
        <f t="shared" si="2"/>
        <v>80</v>
      </c>
      <c r="C78" s="58">
        <f t="shared" si="3"/>
        <v>0.17499999999999999</v>
      </c>
    </row>
    <row r="79" spans="2:3" x14ac:dyDescent="0.3">
      <c r="B79" s="58">
        <f t="shared" si="2"/>
        <v>81</v>
      </c>
      <c r="C79" s="58">
        <f t="shared" si="3"/>
        <v>0.17530864197530865</v>
      </c>
    </row>
    <row r="80" spans="2:3" x14ac:dyDescent="0.3">
      <c r="B80" s="58">
        <f t="shared" si="2"/>
        <v>82</v>
      </c>
      <c r="C80" s="58">
        <f t="shared" si="3"/>
        <v>0.17560975609756099</v>
      </c>
    </row>
    <row r="81" spans="2:3" x14ac:dyDescent="0.3">
      <c r="B81" s="58">
        <f t="shared" si="2"/>
        <v>83</v>
      </c>
      <c r="C81" s="58">
        <f t="shared" si="3"/>
        <v>0.17590361445783134</v>
      </c>
    </row>
    <row r="82" spans="2:3" x14ac:dyDescent="0.3">
      <c r="B82" s="58">
        <f t="shared" si="2"/>
        <v>84</v>
      </c>
      <c r="C82" s="58">
        <f t="shared" si="3"/>
        <v>0.1761904761904762</v>
      </c>
    </row>
    <row r="83" spans="2:3" x14ac:dyDescent="0.3">
      <c r="B83" s="58">
        <f t="shared" si="2"/>
        <v>85</v>
      </c>
      <c r="C83" s="58">
        <f t="shared" si="3"/>
        <v>0.17647058823529413</v>
      </c>
    </row>
    <row r="84" spans="2:3" x14ac:dyDescent="0.3">
      <c r="B84" s="58">
        <f t="shared" si="2"/>
        <v>86</v>
      </c>
      <c r="C84" s="58">
        <f t="shared" si="3"/>
        <v>0.17674418604651165</v>
      </c>
    </row>
    <row r="85" spans="2:3" x14ac:dyDescent="0.3">
      <c r="B85" s="58">
        <f t="shared" si="2"/>
        <v>87</v>
      </c>
      <c r="C85" s="58">
        <f t="shared" si="3"/>
        <v>0.17701149425287357</v>
      </c>
    </row>
    <row r="86" spans="2:3" x14ac:dyDescent="0.3">
      <c r="B86" s="58">
        <f t="shared" si="2"/>
        <v>88</v>
      </c>
      <c r="C86" s="58">
        <f t="shared" si="3"/>
        <v>0.17727272727272728</v>
      </c>
    </row>
    <row r="87" spans="2:3" x14ac:dyDescent="0.3">
      <c r="B87" s="58">
        <f t="shared" si="2"/>
        <v>89</v>
      </c>
      <c r="C87" s="58">
        <f t="shared" si="3"/>
        <v>0.17752808988764046</v>
      </c>
    </row>
    <row r="88" spans="2:3" x14ac:dyDescent="0.3">
      <c r="B88" s="58">
        <f t="shared" si="2"/>
        <v>90</v>
      </c>
      <c r="C88" s="58">
        <f t="shared" si="3"/>
        <v>0.17777777777777778</v>
      </c>
    </row>
    <row r="89" spans="2:3" x14ac:dyDescent="0.3">
      <c r="B89" s="58">
        <f t="shared" si="2"/>
        <v>91</v>
      </c>
      <c r="C89" s="58">
        <f t="shared" si="3"/>
        <v>0.17802197802197803</v>
      </c>
    </row>
    <row r="90" spans="2:3" x14ac:dyDescent="0.3">
      <c r="B90" s="58">
        <f t="shared" si="2"/>
        <v>92</v>
      </c>
      <c r="C90" s="58">
        <f t="shared" si="3"/>
        <v>0.17826086956521742</v>
      </c>
    </row>
    <row r="91" spans="2:3" x14ac:dyDescent="0.3">
      <c r="B91" s="58">
        <f t="shared" si="2"/>
        <v>93</v>
      </c>
      <c r="C91" s="58">
        <f t="shared" si="3"/>
        <v>0.17849462365591398</v>
      </c>
    </row>
    <row r="92" spans="2:3" x14ac:dyDescent="0.3">
      <c r="B92" s="58">
        <f t="shared" si="2"/>
        <v>94</v>
      </c>
      <c r="C92" s="58">
        <f t="shared" si="3"/>
        <v>0.17872340425531916</v>
      </c>
    </row>
    <row r="93" spans="2:3" x14ac:dyDescent="0.3">
      <c r="B93" s="58">
        <f t="shared" si="2"/>
        <v>95</v>
      </c>
      <c r="C93" s="58">
        <f t="shared" si="3"/>
        <v>0.17894736842105263</v>
      </c>
    </row>
    <row r="94" spans="2:3" x14ac:dyDescent="0.3">
      <c r="B94" s="58">
        <f t="shared" si="2"/>
        <v>96</v>
      </c>
      <c r="C94" s="58">
        <f t="shared" si="3"/>
        <v>0.17916666666666667</v>
      </c>
    </row>
    <row r="95" spans="2:3" x14ac:dyDescent="0.3">
      <c r="B95" s="58">
        <f t="shared" si="2"/>
        <v>97</v>
      </c>
      <c r="C95" s="58">
        <f t="shared" si="3"/>
        <v>0.1793814432989691</v>
      </c>
    </row>
    <row r="96" spans="2:3" x14ac:dyDescent="0.3">
      <c r="B96" s="58">
        <f t="shared" si="2"/>
        <v>98</v>
      </c>
      <c r="C96" s="58">
        <f t="shared" si="3"/>
        <v>0.17959183673469389</v>
      </c>
    </row>
    <row r="97" spans="2:3" x14ac:dyDescent="0.3">
      <c r="B97" s="58">
        <f t="shared" si="2"/>
        <v>99</v>
      </c>
      <c r="C97" s="58">
        <f t="shared" si="3"/>
        <v>0.17979797979797982</v>
      </c>
    </row>
    <row r="98" spans="2:3" x14ac:dyDescent="0.3">
      <c r="B98" s="58">
        <f t="shared" si="2"/>
        <v>100</v>
      </c>
      <c r="C98" s="58">
        <f t="shared" si="3"/>
        <v>0.18</v>
      </c>
    </row>
    <row r="99" spans="2:3" x14ac:dyDescent="0.3">
      <c r="B99" s="58">
        <f t="shared" si="2"/>
        <v>101</v>
      </c>
      <c r="C99" s="58">
        <f t="shared" si="3"/>
        <v>0.18019801980198019</v>
      </c>
    </row>
    <row r="100" spans="2:3" x14ac:dyDescent="0.3">
      <c r="B100" s="58">
        <f t="shared" si="2"/>
        <v>102</v>
      </c>
      <c r="C100" s="58">
        <f t="shared" si="3"/>
        <v>0.18039215686274512</v>
      </c>
    </row>
    <row r="101" spans="2:3" x14ac:dyDescent="0.3">
      <c r="B101" s="58">
        <f t="shared" si="2"/>
        <v>103</v>
      </c>
      <c r="C101" s="58">
        <f t="shared" si="3"/>
        <v>0.18058252427184468</v>
      </c>
    </row>
    <row r="102" spans="2:3" x14ac:dyDescent="0.3">
      <c r="B102" s="58">
        <f t="shared" si="2"/>
        <v>104</v>
      </c>
      <c r="C102" s="58">
        <f t="shared" si="3"/>
        <v>0.18076923076923077</v>
      </c>
    </row>
    <row r="103" spans="2:3" x14ac:dyDescent="0.3">
      <c r="B103" s="58">
        <f t="shared" si="2"/>
        <v>105</v>
      </c>
      <c r="C103" s="58">
        <f t="shared" si="3"/>
        <v>0.18095238095238095</v>
      </c>
    </row>
    <row r="104" spans="2:3" x14ac:dyDescent="0.3">
      <c r="B104" s="58">
        <f t="shared" si="2"/>
        <v>106</v>
      </c>
      <c r="C104" s="58">
        <f t="shared" si="3"/>
        <v>0.18113207547169813</v>
      </c>
    </row>
    <row r="105" spans="2:3" x14ac:dyDescent="0.3">
      <c r="B105" s="58">
        <f t="shared" si="2"/>
        <v>107</v>
      </c>
      <c r="C105" s="58">
        <f t="shared" si="3"/>
        <v>0.18130841121495328</v>
      </c>
    </row>
    <row r="106" spans="2:3" x14ac:dyDescent="0.3">
      <c r="B106" s="58">
        <f t="shared" si="2"/>
        <v>108</v>
      </c>
      <c r="C106" s="58">
        <f t="shared" si="3"/>
        <v>0.18148148148148149</v>
      </c>
    </row>
    <row r="107" spans="2:3" x14ac:dyDescent="0.3">
      <c r="B107" s="58">
        <f t="shared" si="2"/>
        <v>109</v>
      </c>
      <c r="C107" s="58">
        <f t="shared" si="3"/>
        <v>0.181651376146789</v>
      </c>
    </row>
    <row r="108" spans="2:3" x14ac:dyDescent="0.3">
      <c r="B108" s="58">
        <f t="shared" si="2"/>
        <v>110</v>
      </c>
      <c r="C108" s="58">
        <f t="shared" si="3"/>
        <v>0.18181818181818182</v>
      </c>
    </row>
    <row r="109" spans="2:3" x14ac:dyDescent="0.3">
      <c r="B109" s="58">
        <f t="shared" si="2"/>
        <v>111</v>
      </c>
      <c r="C109" s="58">
        <f t="shared" si="3"/>
        <v>0.18198198198198201</v>
      </c>
    </row>
    <row r="110" spans="2:3" x14ac:dyDescent="0.3">
      <c r="B110" s="58">
        <f t="shared" si="2"/>
        <v>112</v>
      </c>
      <c r="C110" s="58">
        <f t="shared" si="3"/>
        <v>0.18214285714285716</v>
      </c>
    </row>
    <row r="111" spans="2:3" x14ac:dyDescent="0.3">
      <c r="B111" s="58">
        <f t="shared" si="2"/>
        <v>113</v>
      </c>
      <c r="C111" s="58">
        <f t="shared" si="3"/>
        <v>0.18230088495575222</v>
      </c>
    </row>
    <row r="112" spans="2:3" x14ac:dyDescent="0.3">
      <c r="B112" s="58">
        <f t="shared" si="2"/>
        <v>114</v>
      </c>
      <c r="C112" s="58">
        <f t="shared" si="3"/>
        <v>0.18245614035087721</v>
      </c>
    </row>
    <row r="113" spans="2:3" x14ac:dyDescent="0.3">
      <c r="B113" s="58">
        <f t="shared" si="2"/>
        <v>115</v>
      </c>
      <c r="C113" s="58">
        <f t="shared" si="3"/>
        <v>0.18260869565217391</v>
      </c>
    </row>
    <row r="114" spans="2:3" x14ac:dyDescent="0.3">
      <c r="B114" s="58">
        <f t="shared" si="2"/>
        <v>116</v>
      </c>
      <c r="C114" s="58">
        <f t="shared" si="3"/>
        <v>0.1827586206896552</v>
      </c>
    </row>
    <row r="115" spans="2:3" x14ac:dyDescent="0.3">
      <c r="B115" s="58">
        <f t="shared" si="2"/>
        <v>117</v>
      </c>
      <c r="C115" s="58">
        <f t="shared" si="3"/>
        <v>0.18290598290598292</v>
      </c>
    </row>
    <row r="116" spans="2:3" x14ac:dyDescent="0.3">
      <c r="B116" s="58">
        <f t="shared" si="2"/>
        <v>118</v>
      </c>
      <c r="C116" s="58">
        <f t="shared" si="3"/>
        <v>0.18305084745762712</v>
      </c>
    </row>
    <row r="117" spans="2:3" x14ac:dyDescent="0.3">
      <c r="B117" s="58">
        <f t="shared" si="2"/>
        <v>119</v>
      </c>
      <c r="C117" s="58">
        <f t="shared" si="3"/>
        <v>0.18319327731092439</v>
      </c>
    </row>
    <row r="118" spans="2:3" x14ac:dyDescent="0.3">
      <c r="B118" s="58">
        <f t="shared" si="2"/>
        <v>120</v>
      </c>
      <c r="C118" s="58">
        <f t="shared" si="3"/>
        <v>0.18333333333333332</v>
      </c>
    </row>
    <row r="119" spans="2:3" x14ac:dyDescent="0.3">
      <c r="B119" s="58">
        <f t="shared" si="2"/>
        <v>121</v>
      </c>
      <c r="C119" s="58">
        <f t="shared" si="3"/>
        <v>0.1834710743801653</v>
      </c>
    </row>
    <row r="120" spans="2:3" x14ac:dyDescent="0.3">
      <c r="B120" s="58">
        <f t="shared" si="2"/>
        <v>122</v>
      </c>
      <c r="C120" s="58">
        <f t="shared" si="3"/>
        <v>0.1836065573770492</v>
      </c>
    </row>
    <row r="121" spans="2:3" x14ac:dyDescent="0.3">
      <c r="B121" s="58">
        <f t="shared" si="2"/>
        <v>123</v>
      </c>
      <c r="C121" s="58">
        <f t="shared" si="3"/>
        <v>0.18373983739837399</v>
      </c>
    </row>
    <row r="122" spans="2:3" x14ac:dyDescent="0.3">
      <c r="B122" s="58">
        <f t="shared" si="2"/>
        <v>124</v>
      </c>
      <c r="C122" s="58">
        <f t="shared" si="3"/>
        <v>0.18387096774193548</v>
      </c>
    </row>
    <row r="123" spans="2:3" x14ac:dyDescent="0.3">
      <c r="B123" s="58">
        <f t="shared" si="2"/>
        <v>125</v>
      </c>
      <c r="C123" s="58">
        <f t="shared" si="3"/>
        <v>0.184</v>
      </c>
    </row>
    <row r="124" spans="2:3" x14ac:dyDescent="0.3">
      <c r="B124" s="58">
        <f t="shared" si="2"/>
        <v>126</v>
      </c>
      <c r="C124" s="58">
        <f t="shared" si="3"/>
        <v>0.18412698412698414</v>
      </c>
    </row>
    <row r="125" spans="2:3" x14ac:dyDescent="0.3">
      <c r="B125" s="58">
        <f t="shared" si="2"/>
        <v>127</v>
      </c>
      <c r="C125" s="58">
        <f t="shared" si="3"/>
        <v>0.18425196850393702</v>
      </c>
    </row>
    <row r="126" spans="2:3" x14ac:dyDescent="0.3">
      <c r="B126" s="58">
        <f t="shared" si="2"/>
        <v>128</v>
      </c>
      <c r="C126" s="58">
        <f t="shared" si="3"/>
        <v>0.18437500000000001</v>
      </c>
    </row>
    <row r="127" spans="2:3" x14ac:dyDescent="0.3">
      <c r="B127" s="58">
        <f t="shared" si="2"/>
        <v>129</v>
      </c>
      <c r="C127" s="58">
        <f t="shared" si="3"/>
        <v>0.18449612403100776</v>
      </c>
    </row>
    <row r="128" spans="2:3" x14ac:dyDescent="0.3">
      <c r="B128" s="58">
        <f t="shared" si="2"/>
        <v>130</v>
      </c>
      <c r="C128" s="58">
        <f t="shared" si="3"/>
        <v>0.18461538461538463</v>
      </c>
    </row>
    <row r="129" spans="2:3" x14ac:dyDescent="0.3">
      <c r="B129" s="58">
        <f t="shared" si="2"/>
        <v>131</v>
      </c>
      <c r="C129" s="58">
        <f t="shared" si="3"/>
        <v>0.18473282442748093</v>
      </c>
    </row>
    <row r="130" spans="2:3" x14ac:dyDescent="0.3">
      <c r="B130" s="58">
        <f t="shared" si="2"/>
        <v>132</v>
      </c>
      <c r="C130" s="58">
        <f t="shared" si="3"/>
        <v>0.18484848484848487</v>
      </c>
    </row>
    <row r="131" spans="2:3" x14ac:dyDescent="0.3">
      <c r="B131" s="58">
        <f t="shared" si="2"/>
        <v>133</v>
      </c>
      <c r="C131" s="58">
        <f t="shared" si="3"/>
        <v>0.18496240601503761</v>
      </c>
    </row>
    <row r="132" spans="2:3" x14ac:dyDescent="0.3">
      <c r="B132" s="58">
        <f t="shared" si="2"/>
        <v>134</v>
      </c>
      <c r="C132" s="58">
        <f t="shared" si="3"/>
        <v>0.18507462686567164</v>
      </c>
    </row>
    <row r="133" spans="2:3" x14ac:dyDescent="0.3">
      <c r="B133" s="58">
        <f t="shared" si="2"/>
        <v>135</v>
      </c>
      <c r="C133" s="58">
        <f t="shared" si="3"/>
        <v>0.18518518518518517</v>
      </c>
    </row>
    <row r="134" spans="2:3" x14ac:dyDescent="0.3">
      <c r="B134" s="58">
        <f t="shared" si="2"/>
        <v>136</v>
      </c>
      <c r="C134" s="58">
        <f t="shared" si="3"/>
        <v>0.18529411764705883</v>
      </c>
    </row>
    <row r="135" spans="2:3" x14ac:dyDescent="0.3">
      <c r="B135" s="58">
        <f t="shared" si="2"/>
        <v>137</v>
      </c>
      <c r="C135" s="58">
        <f t="shared" si="3"/>
        <v>0.18540145985401463</v>
      </c>
    </row>
    <row r="136" spans="2:3" x14ac:dyDescent="0.3">
      <c r="B136" s="58">
        <f t="shared" si="2"/>
        <v>138</v>
      </c>
      <c r="C136" s="58">
        <f t="shared" si="3"/>
        <v>0.1855072463768116</v>
      </c>
    </row>
    <row r="137" spans="2:3" x14ac:dyDescent="0.3">
      <c r="B137" s="58">
        <f t="shared" si="2"/>
        <v>139</v>
      </c>
      <c r="C137" s="58">
        <f t="shared" si="3"/>
        <v>0.18561151079136692</v>
      </c>
    </row>
    <row r="138" spans="2:3" x14ac:dyDescent="0.3">
      <c r="B138" s="58">
        <f t="shared" ref="B138:B201" si="4">+B137+1</f>
        <v>140</v>
      </c>
      <c r="C138" s="58">
        <f t="shared" ref="C138:C148" si="5">+$C$6*(B138-$B$8)/B138</f>
        <v>0.18571428571428572</v>
      </c>
    </row>
    <row r="139" spans="2:3" x14ac:dyDescent="0.3">
      <c r="B139" s="58">
        <f t="shared" si="4"/>
        <v>141</v>
      </c>
      <c r="C139" s="58">
        <f t="shared" si="5"/>
        <v>0.18581560283687945</v>
      </c>
    </row>
    <row r="140" spans="2:3" x14ac:dyDescent="0.3">
      <c r="B140" s="58">
        <f t="shared" si="4"/>
        <v>142</v>
      </c>
      <c r="C140" s="58">
        <f t="shared" si="5"/>
        <v>0.18591549295774648</v>
      </c>
    </row>
    <row r="141" spans="2:3" x14ac:dyDescent="0.3">
      <c r="B141" s="58">
        <f t="shared" si="4"/>
        <v>143</v>
      </c>
      <c r="C141" s="58">
        <f t="shared" si="5"/>
        <v>0.18601398601398603</v>
      </c>
    </row>
    <row r="142" spans="2:3" x14ac:dyDescent="0.3">
      <c r="B142" s="58">
        <f t="shared" si="4"/>
        <v>144</v>
      </c>
      <c r="C142" s="58">
        <f t="shared" si="5"/>
        <v>0.18611111111111112</v>
      </c>
    </row>
    <row r="143" spans="2:3" x14ac:dyDescent="0.3">
      <c r="B143" s="58">
        <f t="shared" si="4"/>
        <v>145</v>
      </c>
      <c r="C143" s="58">
        <f t="shared" si="5"/>
        <v>0.18620689655172415</v>
      </c>
    </row>
    <row r="144" spans="2:3" x14ac:dyDescent="0.3">
      <c r="B144" s="58">
        <f t="shared" si="4"/>
        <v>146</v>
      </c>
      <c r="C144" s="58">
        <f t="shared" si="5"/>
        <v>0.18630136986301371</v>
      </c>
    </row>
    <row r="145" spans="2:3" x14ac:dyDescent="0.3">
      <c r="B145" s="58">
        <f t="shared" si="4"/>
        <v>147</v>
      </c>
      <c r="C145" s="58">
        <f t="shared" si="5"/>
        <v>0.18639455782312928</v>
      </c>
    </row>
    <row r="146" spans="2:3" x14ac:dyDescent="0.3">
      <c r="B146" s="58">
        <f t="shared" si="4"/>
        <v>148</v>
      </c>
      <c r="C146" s="58">
        <f t="shared" si="5"/>
        <v>0.1864864864864865</v>
      </c>
    </row>
    <row r="147" spans="2:3" x14ac:dyDescent="0.3">
      <c r="B147" s="58">
        <f t="shared" si="4"/>
        <v>149</v>
      </c>
      <c r="C147" s="58">
        <f t="shared" si="5"/>
        <v>0.18657718120805369</v>
      </c>
    </row>
    <row r="148" spans="2:3" x14ac:dyDescent="0.3">
      <c r="B148" s="58">
        <f t="shared" si="4"/>
        <v>150</v>
      </c>
      <c r="C148" s="58">
        <f t="shared" si="5"/>
        <v>0.18666666666666668</v>
      </c>
    </row>
    <row r="149" spans="2:3" x14ac:dyDescent="0.3">
      <c r="B149" s="58">
        <f t="shared" si="4"/>
        <v>151</v>
      </c>
      <c r="C149" s="58">
        <f t="shared" ref="C149:C212" si="6">+$C$6*(B149-$B$8)/B149</f>
        <v>0.18675496688741725</v>
      </c>
    </row>
    <row r="150" spans="2:3" x14ac:dyDescent="0.3">
      <c r="B150" s="58">
        <f t="shared" si="4"/>
        <v>152</v>
      </c>
      <c r="C150" s="58">
        <f t="shared" si="6"/>
        <v>0.18684210526315792</v>
      </c>
    </row>
    <row r="151" spans="2:3" x14ac:dyDescent="0.3">
      <c r="B151" s="58">
        <f t="shared" si="4"/>
        <v>153</v>
      </c>
      <c r="C151" s="58">
        <f t="shared" si="6"/>
        <v>0.1869281045751634</v>
      </c>
    </row>
    <row r="152" spans="2:3" x14ac:dyDescent="0.3">
      <c r="B152" s="58">
        <f t="shared" si="4"/>
        <v>154</v>
      </c>
      <c r="C152" s="58">
        <f t="shared" si="6"/>
        <v>0.18701298701298702</v>
      </c>
    </row>
    <row r="153" spans="2:3" x14ac:dyDescent="0.3">
      <c r="B153" s="58">
        <f t="shared" si="4"/>
        <v>155</v>
      </c>
      <c r="C153" s="58">
        <f t="shared" si="6"/>
        <v>0.18709677419354839</v>
      </c>
    </row>
    <row r="154" spans="2:3" x14ac:dyDescent="0.3">
      <c r="B154" s="58">
        <f t="shared" si="4"/>
        <v>156</v>
      </c>
      <c r="C154" s="58">
        <f t="shared" si="6"/>
        <v>0.18717948717948721</v>
      </c>
    </row>
    <row r="155" spans="2:3" x14ac:dyDescent="0.3">
      <c r="B155" s="58">
        <f t="shared" si="4"/>
        <v>157</v>
      </c>
      <c r="C155" s="58">
        <f t="shared" si="6"/>
        <v>0.1872611464968153</v>
      </c>
    </row>
    <row r="156" spans="2:3" x14ac:dyDescent="0.3">
      <c r="B156" s="58">
        <f t="shared" si="4"/>
        <v>158</v>
      </c>
      <c r="C156" s="58">
        <f t="shared" si="6"/>
        <v>0.18734177215189873</v>
      </c>
    </row>
    <row r="157" spans="2:3" x14ac:dyDescent="0.3">
      <c r="B157" s="58">
        <f t="shared" si="4"/>
        <v>159</v>
      </c>
      <c r="C157" s="58">
        <f t="shared" si="6"/>
        <v>0.18742138364779876</v>
      </c>
    </row>
    <row r="158" spans="2:3" x14ac:dyDescent="0.3">
      <c r="B158" s="58">
        <f t="shared" si="4"/>
        <v>160</v>
      </c>
      <c r="C158" s="58">
        <f t="shared" si="6"/>
        <v>0.1875</v>
      </c>
    </row>
    <row r="159" spans="2:3" x14ac:dyDescent="0.3">
      <c r="B159" s="58">
        <f t="shared" si="4"/>
        <v>161</v>
      </c>
      <c r="C159" s="58">
        <f t="shared" si="6"/>
        <v>0.18757763975155281</v>
      </c>
    </row>
    <row r="160" spans="2:3" x14ac:dyDescent="0.3">
      <c r="B160" s="58">
        <f t="shared" si="4"/>
        <v>162</v>
      </c>
      <c r="C160" s="58">
        <f t="shared" si="6"/>
        <v>0.18765432098765433</v>
      </c>
    </row>
    <row r="161" spans="2:3" x14ac:dyDescent="0.3">
      <c r="B161" s="58">
        <f t="shared" si="4"/>
        <v>163</v>
      </c>
      <c r="C161" s="58">
        <f t="shared" si="6"/>
        <v>0.18773006134969325</v>
      </c>
    </row>
    <row r="162" spans="2:3" x14ac:dyDescent="0.3">
      <c r="B162" s="58">
        <f t="shared" si="4"/>
        <v>164</v>
      </c>
      <c r="C162" s="58">
        <f t="shared" si="6"/>
        <v>0.18780487804878049</v>
      </c>
    </row>
    <row r="163" spans="2:3" x14ac:dyDescent="0.3">
      <c r="B163" s="58">
        <f t="shared" si="4"/>
        <v>165</v>
      </c>
      <c r="C163" s="58">
        <f t="shared" si="6"/>
        <v>0.18787878787878787</v>
      </c>
    </row>
    <row r="164" spans="2:3" x14ac:dyDescent="0.3">
      <c r="B164" s="58">
        <f t="shared" si="4"/>
        <v>166</v>
      </c>
      <c r="C164" s="58">
        <f t="shared" si="6"/>
        <v>0.18795180722891569</v>
      </c>
    </row>
    <row r="165" spans="2:3" x14ac:dyDescent="0.3">
      <c r="B165" s="58">
        <f t="shared" si="4"/>
        <v>167</v>
      </c>
      <c r="C165" s="58">
        <f t="shared" si="6"/>
        <v>0.18802395209580838</v>
      </c>
    </row>
    <row r="166" spans="2:3" x14ac:dyDescent="0.3">
      <c r="B166" s="58">
        <f t="shared" si="4"/>
        <v>168</v>
      </c>
      <c r="C166" s="58">
        <f t="shared" si="6"/>
        <v>0.18809523809523809</v>
      </c>
    </row>
    <row r="167" spans="2:3" x14ac:dyDescent="0.3">
      <c r="B167" s="58">
        <f t="shared" si="4"/>
        <v>169</v>
      </c>
      <c r="C167" s="58">
        <f t="shared" si="6"/>
        <v>0.18816568047337279</v>
      </c>
    </row>
    <row r="168" spans="2:3" x14ac:dyDescent="0.3">
      <c r="B168" s="58">
        <f t="shared" si="4"/>
        <v>170</v>
      </c>
      <c r="C168" s="58">
        <f t="shared" si="6"/>
        <v>0.18823529411764706</v>
      </c>
    </row>
    <row r="169" spans="2:3" x14ac:dyDescent="0.3">
      <c r="B169" s="58">
        <f t="shared" si="4"/>
        <v>171</v>
      </c>
      <c r="C169" s="58">
        <f t="shared" si="6"/>
        <v>0.18830409356725147</v>
      </c>
    </row>
    <row r="170" spans="2:3" x14ac:dyDescent="0.3">
      <c r="B170" s="58">
        <f t="shared" si="4"/>
        <v>172</v>
      </c>
      <c r="C170" s="58">
        <f t="shared" si="6"/>
        <v>0.1883720930232558</v>
      </c>
    </row>
    <row r="171" spans="2:3" x14ac:dyDescent="0.3">
      <c r="B171" s="58">
        <f t="shared" si="4"/>
        <v>173</v>
      </c>
      <c r="C171" s="58">
        <f t="shared" si="6"/>
        <v>0.18843930635838152</v>
      </c>
    </row>
    <row r="172" spans="2:3" x14ac:dyDescent="0.3">
      <c r="B172" s="58">
        <f t="shared" si="4"/>
        <v>174</v>
      </c>
      <c r="C172" s="58">
        <f t="shared" si="6"/>
        <v>0.18850574712643681</v>
      </c>
    </row>
    <row r="173" spans="2:3" x14ac:dyDescent="0.3">
      <c r="B173" s="58">
        <f t="shared" si="4"/>
        <v>175</v>
      </c>
      <c r="C173" s="58">
        <f t="shared" si="6"/>
        <v>0.18857142857142858</v>
      </c>
    </row>
    <row r="174" spans="2:3" x14ac:dyDescent="0.3">
      <c r="B174" s="58">
        <f t="shared" si="4"/>
        <v>176</v>
      </c>
      <c r="C174" s="58">
        <f t="shared" si="6"/>
        <v>0.18863636363636366</v>
      </c>
    </row>
    <row r="175" spans="2:3" x14ac:dyDescent="0.3">
      <c r="B175" s="58">
        <f t="shared" si="4"/>
        <v>177</v>
      </c>
      <c r="C175" s="58">
        <f t="shared" si="6"/>
        <v>0.18870056497175142</v>
      </c>
    </row>
    <row r="176" spans="2:3" x14ac:dyDescent="0.3">
      <c r="B176" s="58">
        <f t="shared" si="4"/>
        <v>178</v>
      </c>
      <c r="C176" s="58">
        <f t="shared" si="6"/>
        <v>0.18876404494382024</v>
      </c>
    </row>
    <row r="177" spans="2:3" x14ac:dyDescent="0.3">
      <c r="B177" s="58">
        <f t="shared" si="4"/>
        <v>179</v>
      </c>
      <c r="C177" s="58">
        <f t="shared" si="6"/>
        <v>0.18882681564245812</v>
      </c>
    </row>
    <row r="178" spans="2:3" x14ac:dyDescent="0.3">
      <c r="B178" s="58">
        <f t="shared" si="4"/>
        <v>180</v>
      </c>
      <c r="C178" s="58">
        <f t="shared" si="6"/>
        <v>0.18888888888888888</v>
      </c>
    </row>
    <row r="179" spans="2:3" x14ac:dyDescent="0.3">
      <c r="B179" s="58">
        <f t="shared" si="4"/>
        <v>181</v>
      </c>
      <c r="C179" s="58">
        <f t="shared" si="6"/>
        <v>0.18895027624309393</v>
      </c>
    </row>
    <row r="180" spans="2:3" x14ac:dyDescent="0.3">
      <c r="B180" s="58">
        <f t="shared" si="4"/>
        <v>182</v>
      </c>
      <c r="C180" s="58">
        <f t="shared" si="6"/>
        <v>0.18901098901098901</v>
      </c>
    </row>
    <row r="181" spans="2:3" x14ac:dyDescent="0.3">
      <c r="B181" s="58">
        <f t="shared" si="4"/>
        <v>183</v>
      </c>
      <c r="C181" s="58">
        <f t="shared" si="6"/>
        <v>0.18907103825136612</v>
      </c>
    </row>
    <row r="182" spans="2:3" x14ac:dyDescent="0.3">
      <c r="B182" s="58">
        <f t="shared" si="4"/>
        <v>184</v>
      </c>
      <c r="C182" s="58">
        <f t="shared" si="6"/>
        <v>0.18913043478260871</v>
      </c>
    </row>
    <row r="183" spans="2:3" x14ac:dyDescent="0.3">
      <c r="B183" s="58">
        <f t="shared" si="4"/>
        <v>185</v>
      </c>
      <c r="C183" s="58">
        <f t="shared" si="6"/>
        <v>0.1891891891891892</v>
      </c>
    </row>
    <row r="184" spans="2:3" x14ac:dyDescent="0.3">
      <c r="B184" s="58">
        <f t="shared" si="4"/>
        <v>186</v>
      </c>
      <c r="C184" s="58">
        <f t="shared" si="6"/>
        <v>0.18924731182795701</v>
      </c>
    </row>
    <row r="185" spans="2:3" x14ac:dyDescent="0.3">
      <c r="B185" s="58">
        <f t="shared" si="4"/>
        <v>187</v>
      </c>
      <c r="C185" s="58">
        <f t="shared" si="6"/>
        <v>0.1893048128342246</v>
      </c>
    </row>
    <row r="186" spans="2:3" x14ac:dyDescent="0.3">
      <c r="B186" s="58">
        <f t="shared" si="4"/>
        <v>188</v>
      </c>
      <c r="C186" s="58">
        <f t="shared" si="6"/>
        <v>0.18936170212765957</v>
      </c>
    </row>
    <row r="187" spans="2:3" x14ac:dyDescent="0.3">
      <c r="B187" s="58">
        <f t="shared" si="4"/>
        <v>189</v>
      </c>
      <c r="C187" s="58">
        <f t="shared" si="6"/>
        <v>0.18941798941798943</v>
      </c>
    </row>
    <row r="188" spans="2:3" x14ac:dyDescent="0.3">
      <c r="B188" s="58">
        <f t="shared" si="4"/>
        <v>190</v>
      </c>
      <c r="C188" s="58">
        <f t="shared" si="6"/>
        <v>0.18947368421052632</v>
      </c>
    </row>
    <row r="189" spans="2:3" x14ac:dyDescent="0.3">
      <c r="B189" s="58">
        <f t="shared" si="4"/>
        <v>191</v>
      </c>
      <c r="C189" s="58">
        <f t="shared" si="6"/>
        <v>0.18952879581151835</v>
      </c>
    </row>
    <row r="190" spans="2:3" x14ac:dyDescent="0.3">
      <c r="B190" s="58">
        <f t="shared" si="4"/>
        <v>192</v>
      </c>
      <c r="C190" s="58">
        <f t="shared" si="6"/>
        <v>0.18958333333333333</v>
      </c>
    </row>
    <row r="191" spans="2:3" x14ac:dyDescent="0.3">
      <c r="B191" s="58">
        <f t="shared" si="4"/>
        <v>193</v>
      </c>
      <c r="C191" s="58">
        <f t="shared" si="6"/>
        <v>0.18963730569948187</v>
      </c>
    </row>
    <row r="192" spans="2:3" x14ac:dyDescent="0.3">
      <c r="B192" s="58">
        <f t="shared" si="4"/>
        <v>194</v>
      </c>
      <c r="C192" s="58">
        <f t="shared" si="6"/>
        <v>0.18969072164948456</v>
      </c>
    </row>
    <row r="193" spans="2:3" x14ac:dyDescent="0.3">
      <c r="B193" s="58">
        <f t="shared" si="4"/>
        <v>195</v>
      </c>
      <c r="C193" s="58">
        <f t="shared" si="6"/>
        <v>0.18974358974358974</v>
      </c>
    </row>
    <row r="194" spans="2:3" x14ac:dyDescent="0.3">
      <c r="B194" s="58">
        <f t="shared" si="4"/>
        <v>196</v>
      </c>
      <c r="C194" s="58">
        <f t="shared" si="6"/>
        <v>0.18979591836734697</v>
      </c>
    </row>
    <row r="195" spans="2:3" x14ac:dyDescent="0.3">
      <c r="B195" s="58">
        <f t="shared" si="4"/>
        <v>197</v>
      </c>
      <c r="C195" s="58">
        <f t="shared" si="6"/>
        <v>0.18984771573604059</v>
      </c>
    </row>
    <row r="196" spans="2:3" x14ac:dyDescent="0.3">
      <c r="B196" s="58">
        <f t="shared" si="4"/>
        <v>198</v>
      </c>
      <c r="C196" s="58">
        <f t="shared" si="6"/>
        <v>0.1898989898989899</v>
      </c>
    </row>
    <row r="197" spans="2:3" x14ac:dyDescent="0.3">
      <c r="B197" s="58">
        <f t="shared" si="4"/>
        <v>199</v>
      </c>
      <c r="C197" s="58">
        <f t="shared" si="6"/>
        <v>0.18994974874371862</v>
      </c>
    </row>
    <row r="198" spans="2:3" x14ac:dyDescent="0.3">
      <c r="B198" s="58">
        <f t="shared" si="4"/>
        <v>200</v>
      </c>
      <c r="C198" s="58">
        <f t="shared" si="6"/>
        <v>0.19</v>
      </c>
    </row>
    <row r="199" spans="2:3" x14ac:dyDescent="0.3">
      <c r="B199" s="58">
        <f t="shared" si="4"/>
        <v>201</v>
      </c>
      <c r="C199" s="58">
        <f t="shared" si="6"/>
        <v>0.1900497512437811</v>
      </c>
    </row>
    <row r="200" spans="2:3" x14ac:dyDescent="0.3">
      <c r="B200" s="58">
        <f t="shared" si="4"/>
        <v>202</v>
      </c>
      <c r="C200" s="58">
        <f t="shared" si="6"/>
        <v>0.19009900990099013</v>
      </c>
    </row>
    <row r="201" spans="2:3" x14ac:dyDescent="0.3">
      <c r="B201" s="58">
        <f t="shared" si="4"/>
        <v>203</v>
      </c>
      <c r="C201" s="58">
        <f t="shared" si="6"/>
        <v>0.19014778325123152</v>
      </c>
    </row>
    <row r="202" spans="2:3" x14ac:dyDescent="0.3">
      <c r="B202" s="58">
        <f t="shared" ref="B202:B265" si="7">+B201+1</f>
        <v>204</v>
      </c>
      <c r="C202" s="58">
        <f t="shared" si="6"/>
        <v>0.19019607843137257</v>
      </c>
    </row>
    <row r="203" spans="2:3" x14ac:dyDescent="0.3">
      <c r="B203" s="58">
        <f t="shared" si="7"/>
        <v>205</v>
      </c>
      <c r="C203" s="58">
        <f t="shared" si="6"/>
        <v>0.19024390243902439</v>
      </c>
    </row>
    <row r="204" spans="2:3" x14ac:dyDescent="0.3">
      <c r="B204" s="58">
        <f t="shared" si="7"/>
        <v>206</v>
      </c>
      <c r="C204" s="58">
        <f t="shared" si="6"/>
        <v>0.19029126213592235</v>
      </c>
    </row>
    <row r="205" spans="2:3" x14ac:dyDescent="0.3">
      <c r="B205" s="58">
        <f t="shared" si="7"/>
        <v>207</v>
      </c>
      <c r="C205" s="58">
        <f t="shared" si="6"/>
        <v>0.19033816425120775</v>
      </c>
    </row>
    <row r="206" spans="2:3" x14ac:dyDescent="0.3">
      <c r="B206" s="58">
        <f t="shared" si="7"/>
        <v>208</v>
      </c>
      <c r="C206" s="58">
        <f t="shared" si="6"/>
        <v>0.1903846153846154</v>
      </c>
    </row>
    <row r="207" spans="2:3" x14ac:dyDescent="0.3">
      <c r="B207" s="58">
        <f t="shared" si="7"/>
        <v>209</v>
      </c>
      <c r="C207" s="58">
        <f t="shared" si="6"/>
        <v>0.19043062200956939</v>
      </c>
    </row>
    <row r="208" spans="2:3" x14ac:dyDescent="0.3">
      <c r="B208" s="58">
        <f t="shared" si="7"/>
        <v>210</v>
      </c>
      <c r="C208" s="58">
        <f t="shared" si="6"/>
        <v>0.19047619047619047</v>
      </c>
    </row>
    <row r="209" spans="2:3" x14ac:dyDescent="0.3">
      <c r="B209" s="58">
        <f t="shared" si="7"/>
        <v>211</v>
      </c>
      <c r="C209" s="58">
        <f t="shared" si="6"/>
        <v>0.19052132701421803</v>
      </c>
    </row>
    <row r="210" spans="2:3" x14ac:dyDescent="0.3">
      <c r="B210" s="58">
        <f t="shared" si="7"/>
        <v>212</v>
      </c>
      <c r="C210" s="58">
        <f t="shared" si="6"/>
        <v>0.19056603773584907</v>
      </c>
    </row>
    <row r="211" spans="2:3" x14ac:dyDescent="0.3">
      <c r="B211" s="58">
        <f t="shared" si="7"/>
        <v>213</v>
      </c>
      <c r="C211" s="58">
        <f t="shared" si="6"/>
        <v>0.19061032863849767</v>
      </c>
    </row>
    <row r="212" spans="2:3" x14ac:dyDescent="0.3">
      <c r="B212" s="58">
        <f t="shared" si="7"/>
        <v>214</v>
      </c>
      <c r="C212" s="58">
        <f t="shared" si="6"/>
        <v>0.19065420560747665</v>
      </c>
    </row>
    <row r="213" spans="2:3" x14ac:dyDescent="0.3">
      <c r="B213" s="58">
        <f t="shared" si="7"/>
        <v>215</v>
      </c>
      <c r="C213" s="58">
        <f t="shared" ref="C213:C276" si="8">+$C$6*(B213-$B$8)/B213</f>
        <v>0.19069767441860466</v>
      </c>
    </row>
    <row r="214" spans="2:3" x14ac:dyDescent="0.3">
      <c r="B214" s="58">
        <f t="shared" si="7"/>
        <v>216</v>
      </c>
      <c r="C214" s="58">
        <f t="shared" si="8"/>
        <v>0.19074074074074077</v>
      </c>
    </row>
    <row r="215" spans="2:3" x14ac:dyDescent="0.3">
      <c r="B215" s="58">
        <f t="shared" si="7"/>
        <v>217</v>
      </c>
      <c r="C215" s="58">
        <f t="shared" si="8"/>
        <v>0.19078341013824887</v>
      </c>
    </row>
    <row r="216" spans="2:3" x14ac:dyDescent="0.3">
      <c r="B216" s="58">
        <f t="shared" si="7"/>
        <v>218</v>
      </c>
      <c r="C216" s="58">
        <f t="shared" si="8"/>
        <v>0.19082568807339451</v>
      </c>
    </row>
    <row r="217" spans="2:3" x14ac:dyDescent="0.3">
      <c r="B217" s="58">
        <f t="shared" si="7"/>
        <v>219</v>
      </c>
      <c r="C217" s="58">
        <f t="shared" si="8"/>
        <v>0.19086757990867581</v>
      </c>
    </row>
    <row r="218" spans="2:3" x14ac:dyDescent="0.3">
      <c r="B218" s="58">
        <f t="shared" si="7"/>
        <v>220</v>
      </c>
      <c r="C218" s="58">
        <f t="shared" si="8"/>
        <v>0.19090909090909092</v>
      </c>
    </row>
    <row r="219" spans="2:3" x14ac:dyDescent="0.3">
      <c r="B219" s="58">
        <f t="shared" si="7"/>
        <v>221</v>
      </c>
      <c r="C219" s="58">
        <f t="shared" si="8"/>
        <v>0.19095022624434391</v>
      </c>
    </row>
    <row r="220" spans="2:3" x14ac:dyDescent="0.3">
      <c r="B220" s="58">
        <f t="shared" si="7"/>
        <v>222</v>
      </c>
      <c r="C220" s="58">
        <f t="shared" si="8"/>
        <v>0.19099099099099101</v>
      </c>
    </row>
    <row r="221" spans="2:3" x14ac:dyDescent="0.3">
      <c r="B221" s="58">
        <f t="shared" si="7"/>
        <v>223</v>
      </c>
      <c r="C221" s="58">
        <f t="shared" si="8"/>
        <v>0.19103139013452916</v>
      </c>
    </row>
    <row r="222" spans="2:3" x14ac:dyDescent="0.3">
      <c r="B222" s="58">
        <f t="shared" si="7"/>
        <v>224</v>
      </c>
      <c r="C222" s="58">
        <f t="shared" si="8"/>
        <v>0.19107142857142859</v>
      </c>
    </row>
    <row r="223" spans="2:3" x14ac:dyDescent="0.3">
      <c r="B223" s="58">
        <f t="shared" si="7"/>
        <v>225</v>
      </c>
      <c r="C223" s="58">
        <f t="shared" si="8"/>
        <v>0.19111111111111112</v>
      </c>
    </row>
    <row r="224" spans="2:3" x14ac:dyDescent="0.3">
      <c r="B224" s="58">
        <f t="shared" si="7"/>
        <v>226</v>
      </c>
      <c r="C224" s="58">
        <f t="shared" si="8"/>
        <v>0.19115044247787613</v>
      </c>
    </row>
    <row r="225" spans="2:3" x14ac:dyDescent="0.3">
      <c r="B225" s="58">
        <f t="shared" si="7"/>
        <v>227</v>
      </c>
      <c r="C225" s="58">
        <f t="shared" si="8"/>
        <v>0.19118942731277536</v>
      </c>
    </row>
    <row r="226" spans="2:3" x14ac:dyDescent="0.3">
      <c r="B226" s="58">
        <f t="shared" si="7"/>
        <v>228</v>
      </c>
      <c r="C226" s="58">
        <f t="shared" si="8"/>
        <v>0.19122807017543861</v>
      </c>
    </row>
    <row r="227" spans="2:3" x14ac:dyDescent="0.3">
      <c r="B227" s="58">
        <f t="shared" si="7"/>
        <v>229</v>
      </c>
      <c r="C227" s="58">
        <f t="shared" si="8"/>
        <v>0.19126637554585155</v>
      </c>
    </row>
    <row r="228" spans="2:3" x14ac:dyDescent="0.3">
      <c r="B228" s="58">
        <f t="shared" si="7"/>
        <v>230</v>
      </c>
      <c r="C228" s="58">
        <f t="shared" si="8"/>
        <v>0.19130434782608696</v>
      </c>
    </row>
    <row r="229" spans="2:3" x14ac:dyDescent="0.3">
      <c r="B229" s="58">
        <f t="shared" si="7"/>
        <v>231</v>
      </c>
      <c r="C229" s="58">
        <f t="shared" si="8"/>
        <v>0.19134199134199134</v>
      </c>
    </row>
    <row r="230" spans="2:3" x14ac:dyDescent="0.3">
      <c r="B230" s="58">
        <f t="shared" si="7"/>
        <v>232</v>
      </c>
      <c r="C230" s="58">
        <f t="shared" si="8"/>
        <v>0.19137931034482761</v>
      </c>
    </row>
    <row r="231" spans="2:3" x14ac:dyDescent="0.3">
      <c r="B231" s="58">
        <f t="shared" si="7"/>
        <v>233</v>
      </c>
      <c r="C231" s="58">
        <f t="shared" si="8"/>
        <v>0.19141630901287554</v>
      </c>
    </row>
    <row r="232" spans="2:3" x14ac:dyDescent="0.3">
      <c r="B232" s="58">
        <f t="shared" si="7"/>
        <v>234</v>
      </c>
      <c r="C232" s="58">
        <f t="shared" si="8"/>
        <v>0.19145299145299147</v>
      </c>
    </row>
    <row r="233" spans="2:3" x14ac:dyDescent="0.3">
      <c r="B233" s="58">
        <f t="shared" si="7"/>
        <v>235</v>
      </c>
      <c r="C233" s="58">
        <f t="shared" si="8"/>
        <v>0.19148936170212766</v>
      </c>
    </row>
    <row r="234" spans="2:3" x14ac:dyDescent="0.3">
      <c r="B234" s="58">
        <f t="shared" si="7"/>
        <v>236</v>
      </c>
      <c r="C234" s="58">
        <f t="shared" si="8"/>
        <v>0.19152542372881357</v>
      </c>
    </row>
    <row r="235" spans="2:3" x14ac:dyDescent="0.3">
      <c r="B235" s="58">
        <f t="shared" si="7"/>
        <v>237</v>
      </c>
      <c r="C235" s="58">
        <f t="shared" si="8"/>
        <v>0.19156118143459919</v>
      </c>
    </row>
    <row r="236" spans="2:3" x14ac:dyDescent="0.3">
      <c r="B236" s="58">
        <f t="shared" si="7"/>
        <v>238</v>
      </c>
      <c r="C236" s="58">
        <f t="shared" si="8"/>
        <v>0.1915966386554622</v>
      </c>
    </row>
    <row r="237" spans="2:3" x14ac:dyDescent="0.3">
      <c r="B237" s="58">
        <f t="shared" si="7"/>
        <v>239</v>
      </c>
      <c r="C237" s="58">
        <f t="shared" si="8"/>
        <v>0.19163179916317993</v>
      </c>
    </row>
    <row r="238" spans="2:3" x14ac:dyDescent="0.3">
      <c r="B238" s="58">
        <f t="shared" si="7"/>
        <v>240</v>
      </c>
      <c r="C238" s="58">
        <f t="shared" si="8"/>
        <v>0.19166666666666668</v>
      </c>
    </row>
    <row r="239" spans="2:3" x14ac:dyDescent="0.3">
      <c r="B239" s="58">
        <f t="shared" si="7"/>
        <v>241</v>
      </c>
      <c r="C239" s="58">
        <f t="shared" si="8"/>
        <v>0.19170124481327802</v>
      </c>
    </row>
    <row r="240" spans="2:3" x14ac:dyDescent="0.3">
      <c r="B240" s="58">
        <f t="shared" si="7"/>
        <v>242</v>
      </c>
      <c r="C240" s="58">
        <f t="shared" si="8"/>
        <v>0.19173553719008266</v>
      </c>
    </row>
    <row r="241" spans="2:3" x14ac:dyDescent="0.3">
      <c r="B241" s="58">
        <f t="shared" si="7"/>
        <v>243</v>
      </c>
      <c r="C241" s="58">
        <f t="shared" si="8"/>
        <v>0.19176954732510287</v>
      </c>
    </row>
    <row r="242" spans="2:3" x14ac:dyDescent="0.3">
      <c r="B242" s="58">
        <f t="shared" si="7"/>
        <v>244</v>
      </c>
      <c r="C242" s="58">
        <f t="shared" si="8"/>
        <v>0.19180327868852462</v>
      </c>
    </row>
    <row r="243" spans="2:3" x14ac:dyDescent="0.3">
      <c r="B243" s="58">
        <f t="shared" si="7"/>
        <v>245</v>
      </c>
      <c r="C243" s="58">
        <f t="shared" si="8"/>
        <v>0.19183673469387755</v>
      </c>
    </row>
    <row r="244" spans="2:3" x14ac:dyDescent="0.3">
      <c r="B244" s="58">
        <f t="shared" si="7"/>
        <v>246</v>
      </c>
      <c r="C244" s="58">
        <f t="shared" si="8"/>
        <v>0.19186991869918701</v>
      </c>
    </row>
    <row r="245" spans="2:3" x14ac:dyDescent="0.3">
      <c r="B245" s="58">
        <f t="shared" si="7"/>
        <v>247</v>
      </c>
      <c r="C245" s="58">
        <f t="shared" si="8"/>
        <v>0.19190283400809718</v>
      </c>
    </row>
    <row r="246" spans="2:3" x14ac:dyDescent="0.3">
      <c r="B246" s="58">
        <f t="shared" si="7"/>
        <v>248</v>
      </c>
      <c r="C246" s="58">
        <f t="shared" si="8"/>
        <v>0.19193548387096776</v>
      </c>
    </row>
    <row r="247" spans="2:3" x14ac:dyDescent="0.3">
      <c r="B247" s="58">
        <f t="shared" si="7"/>
        <v>249</v>
      </c>
      <c r="C247" s="58">
        <f t="shared" si="8"/>
        <v>0.1919678714859438</v>
      </c>
    </row>
    <row r="248" spans="2:3" x14ac:dyDescent="0.3">
      <c r="B248" s="58">
        <f t="shared" si="7"/>
        <v>250</v>
      </c>
      <c r="C248" s="58">
        <f t="shared" si="8"/>
        <v>0.192</v>
      </c>
    </row>
    <row r="249" spans="2:3" x14ac:dyDescent="0.3">
      <c r="B249" s="58">
        <f t="shared" si="7"/>
        <v>251</v>
      </c>
      <c r="C249" s="58">
        <f t="shared" si="8"/>
        <v>0.19203187250996018</v>
      </c>
    </row>
    <row r="250" spans="2:3" x14ac:dyDescent="0.3">
      <c r="B250" s="58">
        <f t="shared" si="7"/>
        <v>252</v>
      </c>
      <c r="C250" s="58">
        <f t="shared" si="8"/>
        <v>0.19206349206349208</v>
      </c>
    </row>
    <row r="251" spans="2:3" x14ac:dyDescent="0.3">
      <c r="B251" s="58">
        <f t="shared" si="7"/>
        <v>253</v>
      </c>
      <c r="C251" s="58">
        <f t="shared" si="8"/>
        <v>0.19209486166007905</v>
      </c>
    </row>
    <row r="252" spans="2:3" x14ac:dyDescent="0.3">
      <c r="B252" s="58">
        <f t="shared" si="7"/>
        <v>254</v>
      </c>
      <c r="C252" s="58">
        <f t="shared" si="8"/>
        <v>0.19212598425196853</v>
      </c>
    </row>
    <row r="253" spans="2:3" x14ac:dyDescent="0.3">
      <c r="B253" s="58">
        <f t="shared" si="7"/>
        <v>255</v>
      </c>
      <c r="C253" s="58">
        <f t="shared" si="8"/>
        <v>0.19215686274509805</v>
      </c>
    </row>
    <row r="254" spans="2:3" x14ac:dyDescent="0.3">
      <c r="B254" s="58">
        <f t="shared" si="7"/>
        <v>256</v>
      </c>
      <c r="C254" s="58">
        <f t="shared" si="8"/>
        <v>0.19218750000000001</v>
      </c>
    </row>
    <row r="255" spans="2:3" x14ac:dyDescent="0.3">
      <c r="B255" s="58">
        <f t="shared" si="7"/>
        <v>257</v>
      </c>
      <c r="C255" s="58">
        <f t="shared" si="8"/>
        <v>0.19221789883268484</v>
      </c>
    </row>
    <row r="256" spans="2:3" x14ac:dyDescent="0.3">
      <c r="B256" s="58">
        <f t="shared" si="7"/>
        <v>258</v>
      </c>
      <c r="C256" s="58">
        <f t="shared" si="8"/>
        <v>0.19224806201550387</v>
      </c>
    </row>
    <row r="257" spans="2:3" x14ac:dyDescent="0.3">
      <c r="B257" s="58">
        <f t="shared" si="7"/>
        <v>259</v>
      </c>
      <c r="C257" s="58">
        <f t="shared" si="8"/>
        <v>0.1922779922779923</v>
      </c>
    </row>
    <row r="258" spans="2:3" x14ac:dyDescent="0.3">
      <c r="B258" s="58">
        <f t="shared" si="7"/>
        <v>260</v>
      </c>
      <c r="C258" s="58">
        <f t="shared" si="8"/>
        <v>0.19230769230769232</v>
      </c>
    </row>
    <row r="259" spans="2:3" x14ac:dyDescent="0.3">
      <c r="B259" s="58">
        <f t="shared" si="7"/>
        <v>261</v>
      </c>
      <c r="C259" s="58">
        <f t="shared" si="8"/>
        <v>0.19233716475095786</v>
      </c>
    </row>
    <row r="260" spans="2:3" x14ac:dyDescent="0.3">
      <c r="B260" s="58">
        <f t="shared" si="7"/>
        <v>262</v>
      </c>
      <c r="C260" s="58">
        <f t="shared" si="8"/>
        <v>0.19236641221374048</v>
      </c>
    </row>
    <row r="261" spans="2:3" x14ac:dyDescent="0.3">
      <c r="B261" s="58">
        <f t="shared" si="7"/>
        <v>263</v>
      </c>
      <c r="C261" s="58">
        <f t="shared" si="8"/>
        <v>0.19239543726235742</v>
      </c>
    </row>
    <row r="262" spans="2:3" x14ac:dyDescent="0.3">
      <c r="B262" s="58">
        <f t="shared" si="7"/>
        <v>264</v>
      </c>
      <c r="C262" s="58">
        <f t="shared" si="8"/>
        <v>0.19242424242424244</v>
      </c>
    </row>
    <row r="263" spans="2:3" x14ac:dyDescent="0.3">
      <c r="B263" s="58">
        <f t="shared" si="7"/>
        <v>265</v>
      </c>
      <c r="C263" s="58">
        <f t="shared" si="8"/>
        <v>0.19245283018867926</v>
      </c>
    </row>
    <row r="264" spans="2:3" x14ac:dyDescent="0.3">
      <c r="B264" s="58">
        <f t="shared" si="7"/>
        <v>266</v>
      </c>
      <c r="C264" s="58">
        <f t="shared" si="8"/>
        <v>0.19248120300751881</v>
      </c>
    </row>
    <row r="265" spans="2:3" x14ac:dyDescent="0.3">
      <c r="B265" s="58">
        <f t="shared" si="7"/>
        <v>267</v>
      </c>
      <c r="C265" s="58">
        <f t="shared" si="8"/>
        <v>0.19250936329588017</v>
      </c>
    </row>
    <row r="266" spans="2:3" x14ac:dyDescent="0.3">
      <c r="B266" s="58">
        <f t="shared" ref="B266:B329" si="9">+B265+1</f>
        <v>268</v>
      </c>
      <c r="C266" s="58">
        <f t="shared" si="8"/>
        <v>0.19253731343283584</v>
      </c>
    </row>
    <row r="267" spans="2:3" x14ac:dyDescent="0.3">
      <c r="B267" s="58">
        <f t="shared" si="9"/>
        <v>269</v>
      </c>
      <c r="C267" s="58">
        <f t="shared" si="8"/>
        <v>0.1925650557620818</v>
      </c>
    </row>
    <row r="268" spans="2:3" x14ac:dyDescent="0.3">
      <c r="B268" s="58">
        <f t="shared" si="9"/>
        <v>270</v>
      </c>
      <c r="C268" s="58">
        <f t="shared" si="8"/>
        <v>0.19259259259259259</v>
      </c>
    </row>
    <row r="269" spans="2:3" x14ac:dyDescent="0.3">
      <c r="B269" s="58">
        <f t="shared" si="9"/>
        <v>271</v>
      </c>
      <c r="C269" s="58">
        <f t="shared" si="8"/>
        <v>0.19261992619926199</v>
      </c>
    </row>
    <row r="270" spans="2:3" x14ac:dyDescent="0.3">
      <c r="B270" s="58">
        <f t="shared" si="9"/>
        <v>272</v>
      </c>
      <c r="C270" s="58">
        <f t="shared" si="8"/>
        <v>0.19264705882352942</v>
      </c>
    </row>
    <row r="271" spans="2:3" x14ac:dyDescent="0.3">
      <c r="B271" s="58">
        <f t="shared" si="9"/>
        <v>273</v>
      </c>
      <c r="C271" s="58">
        <f t="shared" si="8"/>
        <v>0.19267399267399268</v>
      </c>
    </row>
    <row r="272" spans="2:3" x14ac:dyDescent="0.3">
      <c r="B272" s="58">
        <f t="shared" si="9"/>
        <v>274</v>
      </c>
      <c r="C272" s="58">
        <f t="shared" si="8"/>
        <v>0.19270072992700732</v>
      </c>
    </row>
    <row r="273" spans="2:3" x14ac:dyDescent="0.3">
      <c r="B273" s="58">
        <f t="shared" si="9"/>
        <v>275</v>
      </c>
      <c r="C273" s="58">
        <f t="shared" si="8"/>
        <v>0.19272727272727272</v>
      </c>
    </row>
    <row r="274" spans="2:3" x14ac:dyDescent="0.3">
      <c r="B274" s="58">
        <f t="shared" si="9"/>
        <v>276</v>
      </c>
      <c r="C274" s="58">
        <f t="shared" si="8"/>
        <v>0.1927536231884058</v>
      </c>
    </row>
    <row r="275" spans="2:3" x14ac:dyDescent="0.3">
      <c r="B275" s="58">
        <f t="shared" si="9"/>
        <v>277</v>
      </c>
      <c r="C275" s="58">
        <f t="shared" si="8"/>
        <v>0.19277978339350182</v>
      </c>
    </row>
    <row r="276" spans="2:3" x14ac:dyDescent="0.3">
      <c r="B276" s="58">
        <f t="shared" si="9"/>
        <v>278</v>
      </c>
      <c r="C276" s="58">
        <f t="shared" si="8"/>
        <v>0.19280575539568345</v>
      </c>
    </row>
    <row r="277" spans="2:3" x14ac:dyDescent="0.3">
      <c r="B277" s="58">
        <f t="shared" si="9"/>
        <v>279</v>
      </c>
      <c r="C277" s="58">
        <f t="shared" ref="C277:C340" si="10">+$C$6*(B277-$B$8)/B277</f>
        <v>0.19283154121863802</v>
      </c>
    </row>
    <row r="278" spans="2:3" x14ac:dyDescent="0.3">
      <c r="B278" s="58">
        <f t="shared" si="9"/>
        <v>280</v>
      </c>
      <c r="C278" s="58">
        <f t="shared" si="10"/>
        <v>0.19285714285714287</v>
      </c>
    </row>
    <row r="279" spans="2:3" x14ac:dyDescent="0.3">
      <c r="B279" s="58">
        <f t="shared" si="9"/>
        <v>281</v>
      </c>
      <c r="C279" s="58">
        <f t="shared" si="10"/>
        <v>0.19288256227758008</v>
      </c>
    </row>
    <row r="280" spans="2:3" x14ac:dyDescent="0.3">
      <c r="B280" s="58">
        <f t="shared" si="9"/>
        <v>282</v>
      </c>
      <c r="C280" s="58">
        <f t="shared" si="10"/>
        <v>0.19290780141843974</v>
      </c>
    </row>
    <row r="281" spans="2:3" x14ac:dyDescent="0.3">
      <c r="B281" s="58">
        <f t="shared" si="9"/>
        <v>283</v>
      </c>
      <c r="C281" s="58">
        <f t="shared" si="10"/>
        <v>0.19293286219081274</v>
      </c>
    </row>
    <row r="282" spans="2:3" x14ac:dyDescent="0.3">
      <c r="B282" s="58">
        <f t="shared" si="9"/>
        <v>284</v>
      </c>
      <c r="C282" s="58">
        <f t="shared" si="10"/>
        <v>0.19295774647887326</v>
      </c>
    </row>
    <row r="283" spans="2:3" x14ac:dyDescent="0.3">
      <c r="B283" s="58">
        <f t="shared" si="9"/>
        <v>285</v>
      </c>
      <c r="C283" s="58">
        <f t="shared" si="10"/>
        <v>0.19298245614035087</v>
      </c>
    </row>
    <row r="284" spans="2:3" x14ac:dyDescent="0.3">
      <c r="B284" s="58">
        <f t="shared" si="9"/>
        <v>286</v>
      </c>
      <c r="C284" s="58">
        <f t="shared" si="10"/>
        <v>0.19300699300699301</v>
      </c>
    </row>
    <row r="285" spans="2:3" x14ac:dyDescent="0.3">
      <c r="B285" s="58">
        <f t="shared" si="9"/>
        <v>287</v>
      </c>
      <c r="C285" s="58">
        <f t="shared" si="10"/>
        <v>0.19303135888501743</v>
      </c>
    </row>
    <row r="286" spans="2:3" x14ac:dyDescent="0.3">
      <c r="B286" s="58">
        <f t="shared" si="9"/>
        <v>288</v>
      </c>
      <c r="C286" s="58">
        <f t="shared" si="10"/>
        <v>0.19305555555555556</v>
      </c>
    </row>
    <row r="287" spans="2:3" x14ac:dyDescent="0.3">
      <c r="B287" s="58">
        <f t="shared" si="9"/>
        <v>289</v>
      </c>
      <c r="C287" s="58">
        <f t="shared" si="10"/>
        <v>0.19307958477508652</v>
      </c>
    </row>
    <row r="288" spans="2:3" x14ac:dyDescent="0.3">
      <c r="B288" s="58">
        <f t="shared" si="9"/>
        <v>290</v>
      </c>
      <c r="C288" s="58">
        <f t="shared" si="10"/>
        <v>0.19310344827586207</v>
      </c>
    </row>
    <row r="289" spans="2:3" x14ac:dyDescent="0.3">
      <c r="B289" s="58">
        <f t="shared" si="9"/>
        <v>291</v>
      </c>
      <c r="C289" s="58">
        <f t="shared" si="10"/>
        <v>0.19312714776632303</v>
      </c>
    </row>
    <row r="290" spans="2:3" x14ac:dyDescent="0.3">
      <c r="B290" s="58">
        <f t="shared" si="9"/>
        <v>292</v>
      </c>
      <c r="C290" s="58">
        <f t="shared" si="10"/>
        <v>0.19315068493150686</v>
      </c>
    </row>
    <row r="291" spans="2:3" x14ac:dyDescent="0.3">
      <c r="B291" s="58">
        <f t="shared" si="9"/>
        <v>293</v>
      </c>
      <c r="C291" s="58">
        <f t="shared" si="10"/>
        <v>0.19317406143344709</v>
      </c>
    </row>
    <row r="292" spans="2:3" x14ac:dyDescent="0.3">
      <c r="B292" s="58">
        <f t="shared" si="9"/>
        <v>294</v>
      </c>
      <c r="C292" s="58">
        <f t="shared" si="10"/>
        <v>0.19319727891156463</v>
      </c>
    </row>
    <row r="293" spans="2:3" x14ac:dyDescent="0.3">
      <c r="B293" s="58">
        <f t="shared" si="9"/>
        <v>295</v>
      </c>
      <c r="C293" s="58">
        <f t="shared" si="10"/>
        <v>0.19322033898305085</v>
      </c>
    </row>
    <row r="294" spans="2:3" x14ac:dyDescent="0.3">
      <c r="B294" s="58">
        <f t="shared" si="9"/>
        <v>296</v>
      </c>
      <c r="C294" s="58">
        <f t="shared" si="10"/>
        <v>0.19324324324324324</v>
      </c>
    </row>
    <row r="295" spans="2:3" x14ac:dyDescent="0.3">
      <c r="B295" s="58">
        <f t="shared" si="9"/>
        <v>297</v>
      </c>
      <c r="C295" s="58">
        <f t="shared" si="10"/>
        <v>0.19326599326599328</v>
      </c>
    </row>
    <row r="296" spans="2:3" x14ac:dyDescent="0.3">
      <c r="B296" s="58">
        <f t="shared" si="9"/>
        <v>298</v>
      </c>
      <c r="C296" s="58">
        <f t="shared" si="10"/>
        <v>0.19328859060402684</v>
      </c>
    </row>
    <row r="297" spans="2:3" x14ac:dyDescent="0.3">
      <c r="B297" s="58">
        <f t="shared" si="9"/>
        <v>299</v>
      </c>
      <c r="C297" s="58">
        <f t="shared" si="10"/>
        <v>0.19331103678929767</v>
      </c>
    </row>
    <row r="298" spans="2:3" x14ac:dyDescent="0.3">
      <c r="B298" s="58">
        <f t="shared" si="9"/>
        <v>300</v>
      </c>
      <c r="C298" s="58">
        <f t="shared" si="10"/>
        <v>0.19333333333333333</v>
      </c>
    </row>
    <row r="299" spans="2:3" x14ac:dyDescent="0.3">
      <c r="B299" s="58">
        <f t="shared" si="9"/>
        <v>301</v>
      </c>
      <c r="C299" s="58">
        <f t="shared" si="10"/>
        <v>0.19335548172757477</v>
      </c>
    </row>
    <row r="300" spans="2:3" x14ac:dyDescent="0.3">
      <c r="B300" s="58">
        <f t="shared" si="9"/>
        <v>302</v>
      </c>
      <c r="C300" s="58">
        <f t="shared" si="10"/>
        <v>0.19337748344370861</v>
      </c>
    </row>
    <row r="301" spans="2:3" x14ac:dyDescent="0.3">
      <c r="B301" s="58">
        <f t="shared" si="9"/>
        <v>303</v>
      </c>
      <c r="C301" s="58">
        <f t="shared" si="10"/>
        <v>0.19339933993399341</v>
      </c>
    </row>
    <row r="302" spans="2:3" x14ac:dyDescent="0.3">
      <c r="B302" s="58">
        <f t="shared" si="9"/>
        <v>304</v>
      </c>
      <c r="C302" s="58">
        <f t="shared" si="10"/>
        <v>0.19342105263157897</v>
      </c>
    </row>
    <row r="303" spans="2:3" x14ac:dyDescent="0.3">
      <c r="B303" s="58">
        <f t="shared" si="9"/>
        <v>305</v>
      </c>
      <c r="C303" s="58">
        <f t="shared" si="10"/>
        <v>0.19344262295081968</v>
      </c>
    </row>
    <row r="304" spans="2:3" x14ac:dyDescent="0.3">
      <c r="B304" s="58">
        <f t="shared" si="9"/>
        <v>306</v>
      </c>
      <c r="C304" s="58">
        <f t="shared" si="10"/>
        <v>0.19346405228758171</v>
      </c>
    </row>
    <row r="305" spans="2:3" x14ac:dyDescent="0.3">
      <c r="B305" s="58">
        <f t="shared" si="9"/>
        <v>307</v>
      </c>
      <c r="C305" s="58">
        <f t="shared" si="10"/>
        <v>0.19348534201954398</v>
      </c>
    </row>
    <row r="306" spans="2:3" x14ac:dyDescent="0.3">
      <c r="B306" s="58">
        <f t="shared" si="9"/>
        <v>308</v>
      </c>
      <c r="C306" s="58">
        <f t="shared" si="10"/>
        <v>0.19350649350649352</v>
      </c>
    </row>
    <row r="307" spans="2:3" x14ac:dyDescent="0.3">
      <c r="B307" s="58">
        <f t="shared" si="9"/>
        <v>309</v>
      </c>
      <c r="C307" s="58">
        <f t="shared" si="10"/>
        <v>0.19352750809061489</v>
      </c>
    </row>
    <row r="308" spans="2:3" x14ac:dyDescent="0.3">
      <c r="B308" s="58">
        <f t="shared" si="9"/>
        <v>310</v>
      </c>
      <c r="C308" s="58">
        <f t="shared" si="10"/>
        <v>0.19354838709677419</v>
      </c>
    </row>
    <row r="309" spans="2:3" x14ac:dyDescent="0.3">
      <c r="B309" s="58">
        <f t="shared" si="9"/>
        <v>311</v>
      </c>
      <c r="C309" s="58">
        <f t="shared" si="10"/>
        <v>0.19356913183279745</v>
      </c>
    </row>
    <row r="310" spans="2:3" x14ac:dyDescent="0.3">
      <c r="B310" s="58">
        <f t="shared" si="9"/>
        <v>312</v>
      </c>
      <c r="C310" s="58">
        <f t="shared" si="10"/>
        <v>0.1935897435897436</v>
      </c>
    </row>
    <row r="311" spans="2:3" x14ac:dyDescent="0.3">
      <c r="B311" s="58">
        <f t="shared" si="9"/>
        <v>313</v>
      </c>
      <c r="C311" s="58">
        <f t="shared" si="10"/>
        <v>0.19361022364217254</v>
      </c>
    </row>
    <row r="312" spans="2:3" x14ac:dyDescent="0.3">
      <c r="B312" s="58">
        <f t="shared" si="9"/>
        <v>314</v>
      </c>
      <c r="C312" s="58">
        <f t="shared" si="10"/>
        <v>0.19363057324840766</v>
      </c>
    </row>
    <row r="313" spans="2:3" x14ac:dyDescent="0.3">
      <c r="B313" s="58">
        <f t="shared" si="9"/>
        <v>315</v>
      </c>
      <c r="C313" s="58">
        <f t="shared" si="10"/>
        <v>0.19365079365079366</v>
      </c>
    </row>
    <row r="314" spans="2:3" x14ac:dyDescent="0.3">
      <c r="B314" s="58">
        <f t="shared" si="9"/>
        <v>316</v>
      </c>
      <c r="C314" s="58">
        <f t="shared" si="10"/>
        <v>0.19367088607594937</v>
      </c>
    </row>
    <row r="315" spans="2:3" x14ac:dyDescent="0.3">
      <c r="B315" s="58">
        <f t="shared" si="9"/>
        <v>317</v>
      </c>
      <c r="C315" s="58">
        <f t="shared" si="10"/>
        <v>0.1936908517350158</v>
      </c>
    </row>
    <row r="316" spans="2:3" x14ac:dyDescent="0.3">
      <c r="B316" s="58">
        <f t="shared" si="9"/>
        <v>318</v>
      </c>
      <c r="C316" s="58">
        <f t="shared" si="10"/>
        <v>0.19371069182389938</v>
      </c>
    </row>
    <row r="317" spans="2:3" x14ac:dyDescent="0.3">
      <c r="B317" s="58">
        <f t="shared" si="9"/>
        <v>319</v>
      </c>
      <c r="C317" s="58">
        <f t="shared" si="10"/>
        <v>0.19373040752351098</v>
      </c>
    </row>
    <row r="318" spans="2:3" x14ac:dyDescent="0.3">
      <c r="B318" s="58">
        <f t="shared" si="9"/>
        <v>320</v>
      </c>
      <c r="C318" s="58">
        <f t="shared" si="10"/>
        <v>0.19375000000000001</v>
      </c>
    </row>
    <row r="319" spans="2:3" x14ac:dyDescent="0.3">
      <c r="B319" s="58">
        <f t="shared" si="9"/>
        <v>321</v>
      </c>
      <c r="C319" s="58">
        <f t="shared" si="10"/>
        <v>0.19376947040498443</v>
      </c>
    </row>
    <row r="320" spans="2:3" x14ac:dyDescent="0.3">
      <c r="B320" s="58">
        <f t="shared" si="9"/>
        <v>322</v>
      </c>
      <c r="C320" s="58">
        <f t="shared" si="10"/>
        <v>0.19378881987577642</v>
      </c>
    </row>
    <row r="321" spans="2:3" x14ac:dyDescent="0.3">
      <c r="B321" s="58">
        <f t="shared" si="9"/>
        <v>323</v>
      </c>
      <c r="C321" s="58">
        <f t="shared" si="10"/>
        <v>0.19380804953560371</v>
      </c>
    </row>
    <row r="322" spans="2:3" x14ac:dyDescent="0.3">
      <c r="B322" s="58">
        <f t="shared" si="9"/>
        <v>324</v>
      </c>
      <c r="C322" s="58">
        <f t="shared" si="10"/>
        <v>0.19382716049382717</v>
      </c>
    </row>
    <row r="323" spans="2:3" x14ac:dyDescent="0.3">
      <c r="B323" s="58">
        <f t="shared" si="9"/>
        <v>325</v>
      </c>
      <c r="C323" s="58">
        <f t="shared" si="10"/>
        <v>0.19384615384615383</v>
      </c>
    </row>
    <row r="324" spans="2:3" x14ac:dyDescent="0.3">
      <c r="B324" s="58">
        <f t="shared" si="9"/>
        <v>326</v>
      </c>
      <c r="C324" s="58">
        <f t="shared" si="10"/>
        <v>0.19386503067484664</v>
      </c>
    </row>
    <row r="325" spans="2:3" x14ac:dyDescent="0.3">
      <c r="B325" s="58">
        <f t="shared" si="9"/>
        <v>327</v>
      </c>
      <c r="C325" s="58">
        <f t="shared" si="10"/>
        <v>0.19388379204892969</v>
      </c>
    </row>
    <row r="326" spans="2:3" x14ac:dyDescent="0.3">
      <c r="B326" s="58">
        <f t="shared" si="9"/>
        <v>328</v>
      </c>
      <c r="C326" s="58">
        <f t="shared" si="10"/>
        <v>0.19390243902439025</v>
      </c>
    </row>
    <row r="327" spans="2:3" x14ac:dyDescent="0.3">
      <c r="B327" s="58">
        <f t="shared" si="9"/>
        <v>329</v>
      </c>
      <c r="C327" s="58">
        <f t="shared" si="10"/>
        <v>0.19392097264437691</v>
      </c>
    </row>
    <row r="328" spans="2:3" x14ac:dyDescent="0.3">
      <c r="B328" s="58">
        <f t="shared" si="9"/>
        <v>330</v>
      </c>
      <c r="C328" s="58">
        <f t="shared" si="10"/>
        <v>0.19393939393939394</v>
      </c>
    </row>
    <row r="329" spans="2:3" x14ac:dyDescent="0.3">
      <c r="B329" s="58">
        <f t="shared" si="9"/>
        <v>331</v>
      </c>
      <c r="C329" s="58">
        <f t="shared" si="10"/>
        <v>0.19395770392749245</v>
      </c>
    </row>
    <row r="330" spans="2:3" x14ac:dyDescent="0.3">
      <c r="B330" s="58">
        <f t="shared" ref="B330:B393" si="11">+B329+1</f>
        <v>332</v>
      </c>
      <c r="C330" s="58">
        <f t="shared" si="10"/>
        <v>0.19397590361445785</v>
      </c>
    </row>
    <row r="331" spans="2:3" x14ac:dyDescent="0.3">
      <c r="B331" s="58">
        <f t="shared" si="11"/>
        <v>333</v>
      </c>
      <c r="C331" s="58">
        <f t="shared" si="10"/>
        <v>0.19399399399399403</v>
      </c>
    </row>
    <row r="332" spans="2:3" x14ac:dyDescent="0.3">
      <c r="B332" s="58">
        <f t="shared" si="11"/>
        <v>334</v>
      </c>
      <c r="C332" s="58">
        <f t="shared" si="10"/>
        <v>0.19401197604790418</v>
      </c>
    </row>
    <row r="333" spans="2:3" x14ac:dyDescent="0.3">
      <c r="B333" s="58">
        <f t="shared" si="11"/>
        <v>335</v>
      </c>
      <c r="C333" s="58">
        <f t="shared" si="10"/>
        <v>0.19402985074626866</v>
      </c>
    </row>
    <row r="334" spans="2:3" x14ac:dyDescent="0.3">
      <c r="B334" s="58">
        <f t="shared" si="11"/>
        <v>336</v>
      </c>
      <c r="C334" s="58">
        <f t="shared" si="10"/>
        <v>0.19404761904761905</v>
      </c>
    </row>
    <row r="335" spans="2:3" x14ac:dyDescent="0.3">
      <c r="B335" s="58">
        <f t="shared" si="11"/>
        <v>337</v>
      </c>
      <c r="C335" s="58">
        <f t="shared" si="10"/>
        <v>0.19406528189910982</v>
      </c>
    </row>
    <row r="336" spans="2:3" x14ac:dyDescent="0.3">
      <c r="B336" s="58">
        <f t="shared" si="11"/>
        <v>338</v>
      </c>
      <c r="C336" s="58">
        <f t="shared" si="10"/>
        <v>0.19408284023668643</v>
      </c>
    </row>
    <row r="337" spans="2:3" x14ac:dyDescent="0.3">
      <c r="B337" s="58">
        <f t="shared" si="11"/>
        <v>339</v>
      </c>
      <c r="C337" s="58">
        <f t="shared" si="10"/>
        <v>0.19410029498525072</v>
      </c>
    </row>
    <row r="338" spans="2:3" x14ac:dyDescent="0.3">
      <c r="B338" s="58">
        <f t="shared" si="11"/>
        <v>340</v>
      </c>
      <c r="C338" s="58">
        <f t="shared" si="10"/>
        <v>0.19411764705882353</v>
      </c>
    </row>
    <row r="339" spans="2:3" x14ac:dyDescent="0.3">
      <c r="B339" s="58">
        <f t="shared" si="11"/>
        <v>341</v>
      </c>
      <c r="C339" s="58">
        <f t="shared" si="10"/>
        <v>0.19413489736070383</v>
      </c>
    </row>
    <row r="340" spans="2:3" x14ac:dyDescent="0.3">
      <c r="B340" s="58">
        <f t="shared" si="11"/>
        <v>342</v>
      </c>
      <c r="C340" s="58">
        <f t="shared" si="10"/>
        <v>0.19415204678362574</v>
      </c>
    </row>
    <row r="341" spans="2:3" x14ac:dyDescent="0.3">
      <c r="B341" s="58">
        <f t="shared" si="11"/>
        <v>343</v>
      </c>
      <c r="C341" s="58">
        <f t="shared" ref="C341:C404" si="12">+$C$6*(B341-$B$8)/B341</f>
        <v>0.19416909620991257</v>
      </c>
    </row>
    <row r="342" spans="2:3" x14ac:dyDescent="0.3">
      <c r="B342" s="58">
        <f t="shared" si="11"/>
        <v>344</v>
      </c>
      <c r="C342" s="58">
        <f t="shared" si="12"/>
        <v>0.19418604651162791</v>
      </c>
    </row>
    <row r="343" spans="2:3" x14ac:dyDescent="0.3">
      <c r="B343" s="58">
        <f t="shared" si="11"/>
        <v>345</v>
      </c>
      <c r="C343" s="58">
        <f t="shared" si="12"/>
        <v>0.19420289855072465</v>
      </c>
    </row>
    <row r="344" spans="2:3" x14ac:dyDescent="0.3">
      <c r="B344" s="58">
        <f t="shared" si="11"/>
        <v>346</v>
      </c>
      <c r="C344" s="58">
        <f t="shared" si="12"/>
        <v>0.19421965317919077</v>
      </c>
    </row>
    <row r="345" spans="2:3" x14ac:dyDescent="0.3">
      <c r="B345" s="58">
        <f t="shared" si="11"/>
        <v>347</v>
      </c>
      <c r="C345" s="58">
        <f t="shared" si="12"/>
        <v>0.1942363112391931</v>
      </c>
    </row>
    <row r="346" spans="2:3" x14ac:dyDescent="0.3">
      <c r="B346" s="58">
        <f t="shared" si="11"/>
        <v>348</v>
      </c>
      <c r="C346" s="58">
        <f t="shared" si="12"/>
        <v>0.19425287356321841</v>
      </c>
    </row>
    <row r="347" spans="2:3" x14ac:dyDescent="0.3">
      <c r="B347" s="58">
        <f t="shared" si="11"/>
        <v>349</v>
      </c>
      <c r="C347" s="58">
        <f t="shared" si="12"/>
        <v>0.19426934097421203</v>
      </c>
    </row>
    <row r="348" spans="2:3" x14ac:dyDescent="0.3">
      <c r="B348" s="58">
        <f t="shared" si="11"/>
        <v>350</v>
      </c>
      <c r="C348" s="58">
        <f t="shared" si="12"/>
        <v>0.19428571428571428</v>
      </c>
    </row>
    <row r="349" spans="2:3" x14ac:dyDescent="0.3">
      <c r="B349" s="58">
        <f t="shared" si="11"/>
        <v>351</v>
      </c>
      <c r="C349" s="58">
        <f t="shared" si="12"/>
        <v>0.1943019943019943</v>
      </c>
    </row>
    <row r="350" spans="2:3" x14ac:dyDescent="0.3">
      <c r="B350" s="58">
        <f t="shared" si="11"/>
        <v>352</v>
      </c>
      <c r="C350" s="58">
        <f t="shared" si="12"/>
        <v>0.19431818181818183</v>
      </c>
    </row>
    <row r="351" spans="2:3" x14ac:dyDescent="0.3">
      <c r="B351" s="58">
        <f t="shared" si="11"/>
        <v>353</v>
      </c>
      <c r="C351" s="58">
        <f t="shared" si="12"/>
        <v>0.19433427762039662</v>
      </c>
    </row>
    <row r="352" spans="2:3" x14ac:dyDescent="0.3">
      <c r="B352" s="58">
        <f t="shared" si="11"/>
        <v>354</v>
      </c>
      <c r="C352" s="58">
        <f t="shared" si="12"/>
        <v>0.19435028248587569</v>
      </c>
    </row>
    <row r="353" spans="2:3" x14ac:dyDescent="0.3">
      <c r="B353" s="58">
        <f t="shared" si="11"/>
        <v>355</v>
      </c>
      <c r="C353" s="58">
        <f t="shared" si="12"/>
        <v>0.19436619718309858</v>
      </c>
    </row>
    <row r="354" spans="2:3" x14ac:dyDescent="0.3">
      <c r="B354" s="58">
        <f t="shared" si="11"/>
        <v>356</v>
      </c>
      <c r="C354" s="58">
        <f t="shared" si="12"/>
        <v>0.19438202247191011</v>
      </c>
    </row>
    <row r="355" spans="2:3" x14ac:dyDescent="0.3">
      <c r="B355" s="58">
        <f t="shared" si="11"/>
        <v>357</v>
      </c>
      <c r="C355" s="58">
        <f t="shared" si="12"/>
        <v>0.19439775910364146</v>
      </c>
    </row>
    <row r="356" spans="2:3" x14ac:dyDescent="0.3">
      <c r="B356" s="58">
        <f t="shared" si="11"/>
        <v>358</v>
      </c>
      <c r="C356" s="58">
        <f t="shared" si="12"/>
        <v>0.19441340782122907</v>
      </c>
    </row>
    <row r="357" spans="2:3" x14ac:dyDescent="0.3">
      <c r="B357" s="58">
        <f t="shared" si="11"/>
        <v>359</v>
      </c>
      <c r="C357" s="58">
        <f t="shared" si="12"/>
        <v>0.19442896935933146</v>
      </c>
    </row>
    <row r="358" spans="2:3" x14ac:dyDescent="0.3">
      <c r="B358" s="58">
        <f t="shared" si="11"/>
        <v>360</v>
      </c>
      <c r="C358" s="58">
        <f t="shared" si="12"/>
        <v>0.19444444444444445</v>
      </c>
    </row>
    <row r="359" spans="2:3" x14ac:dyDescent="0.3">
      <c r="B359" s="58">
        <f t="shared" si="11"/>
        <v>361</v>
      </c>
      <c r="C359" s="58">
        <f t="shared" si="12"/>
        <v>0.19445983379501386</v>
      </c>
    </row>
    <row r="360" spans="2:3" x14ac:dyDescent="0.3">
      <c r="B360" s="58">
        <f t="shared" si="11"/>
        <v>362</v>
      </c>
      <c r="C360" s="58">
        <f t="shared" si="12"/>
        <v>0.19447513812154699</v>
      </c>
    </row>
    <row r="361" spans="2:3" x14ac:dyDescent="0.3">
      <c r="B361" s="58">
        <f t="shared" si="11"/>
        <v>363</v>
      </c>
      <c r="C361" s="58">
        <f t="shared" si="12"/>
        <v>0.19449035812672177</v>
      </c>
    </row>
    <row r="362" spans="2:3" x14ac:dyDescent="0.3">
      <c r="B362" s="58">
        <f t="shared" si="11"/>
        <v>364</v>
      </c>
      <c r="C362" s="58">
        <f t="shared" si="12"/>
        <v>0.19450549450549451</v>
      </c>
    </row>
    <row r="363" spans="2:3" x14ac:dyDescent="0.3">
      <c r="B363" s="58">
        <f t="shared" si="11"/>
        <v>365</v>
      </c>
      <c r="C363" s="58">
        <f t="shared" si="12"/>
        <v>0.19452054794520549</v>
      </c>
    </row>
    <row r="364" spans="2:3" x14ac:dyDescent="0.3">
      <c r="B364" s="58">
        <f t="shared" si="11"/>
        <v>366</v>
      </c>
      <c r="C364" s="58">
        <f t="shared" si="12"/>
        <v>0.19453551912568307</v>
      </c>
    </row>
    <row r="365" spans="2:3" x14ac:dyDescent="0.3">
      <c r="B365" s="58">
        <f t="shared" si="11"/>
        <v>367</v>
      </c>
      <c r="C365" s="58">
        <f t="shared" si="12"/>
        <v>0.19455040871934606</v>
      </c>
    </row>
    <row r="366" spans="2:3" x14ac:dyDescent="0.3">
      <c r="B366" s="58">
        <f t="shared" si="11"/>
        <v>368</v>
      </c>
      <c r="C366" s="58">
        <f t="shared" si="12"/>
        <v>0.19456521739130436</v>
      </c>
    </row>
    <row r="367" spans="2:3" x14ac:dyDescent="0.3">
      <c r="B367" s="58">
        <f t="shared" si="11"/>
        <v>369</v>
      </c>
      <c r="C367" s="58">
        <f t="shared" si="12"/>
        <v>0.19457994579945798</v>
      </c>
    </row>
    <row r="368" spans="2:3" x14ac:dyDescent="0.3">
      <c r="B368" s="58">
        <f t="shared" si="11"/>
        <v>370</v>
      </c>
      <c r="C368" s="58">
        <f t="shared" si="12"/>
        <v>0.19459459459459461</v>
      </c>
    </row>
    <row r="369" spans="2:3" x14ac:dyDescent="0.3">
      <c r="B369" s="58">
        <f t="shared" si="11"/>
        <v>371</v>
      </c>
      <c r="C369" s="58">
        <f t="shared" si="12"/>
        <v>0.19460916442048518</v>
      </c>
    </row>
    <row r="370" spans="2:3" x14ac:dyDescent="0.3">
      <c r="B370" s="58">
        <f t="shared" si="11"/>
        <v>372</v>
      </c>
      <c r="C370" s="58">
        <f t="shared" si="12"/>
        <v>0.19462365591397851</v>
      </c>
    </row>
    <row r="371" spans="2:3" x14ac:dyDescent="0.3">
      <c r="B371" s="58">
        <f t="shared" si="11"/>
        <v>373</v>
      </c>
      <c r="C371" s="58">
        <f t="shared" si="12"/>
        <v>0.19463806970509387</v>
      </c>
    </row>
    <row r="372" spans="2:3" x14ac:dyDescent="0.3">
      <c r="B372" s="58">
        <f t="shared" si="11"/>
        <v>374</v>
      </c>
      <c r="C372" s="58">
        <f t="shared" si="12"/>
        <v>0.19465240641711229</v>
      </c>
    </row>
    <row r="373" spans="2:3" x14ac:dyDescent="0.3">
      <c r="B373" s="58">
        <f t="shared" si="11"/>
        <v>375</v>
      </c>
      <c r="C373" s="58">
        <f t="shared" si="12"/>
        <v>0.19466666666666665</v>
      </c>
    </row>
    <row r="374" spans="2:3" x14ac:dyDescent="0.3">
      <c r="B374" s="58">
        <f t="shared" si="11"/>
        <v>376</v>
      </c>
      <c r="C374" s="58">
        <f t="shared" si="12"/>
        <v>0.19468085106382979</v>
      </c>
    </row>
    <row r="375" spans="2:3" x14ac:dyDescent="0.3">
      <c r="B375" s="58">
        <f t="shared" si="11"/>
        <v>377</v>
      </c>
      <c r="C375" s="58">
        <f t="shared" si="12"/>
        <v>0.19469496021220162</v>
      </c>
    </row>
    <row r="376" spans="2:3" x14ac:dyDescent="0.3">
      <c r="B376" s="58">
        <f t="shared" si="11"/>
        <v>378</v>
      </c>
      <c r="C376" s="58">
        <f t="shared" si="12"/>
        <v>0.19470899470899472</v>
      </c>
    </row>
    <row r="377" spans="2:3" x14ac:dyDescent="0.3">
      <c r="B377" s="58">
        <f t="shared" si="11"/>
        <v>379</v>
      </c>
      <c r="C377" s="58">
        <f t="shared" si="12"/>
        <v>0.19472295514511873</v>
      </c>
    </row>
    <row r="378" spans="2:3" x14ac:dyDescent="0.3">
      <c r="B378" s="58">
        <f t="shared" si="11"/>
        <v>380</v>
      </c>
      <c r="C378" s="58">
        <f t="shared" si="12"/>
        <v>0.19473684210526315</v>
      </c>
    </row>
    <row r="379" spans="2:3" x14ac:dyDescent="0.3">
      <c r="B379" s="58">
        <f t="shared" si="11"/>
        <v>381</v>
      </c>
      <c r="C379" s="58">
        <f t="shared" si="12"/>
        <v>0.19475065616797901</v>
      </c>
    </row>
    <row r="380" spans="2:3" x14ac:dyDescent="0.3">
      <c r="B380" s="58">
        <f t="shared" si="11"/>
        <v>382</v>
      </c>
      <c r="C380" s="58">
        <f t="shared" si="12"/>
        <v>0.19476439790575917</v>
      </c>
    </row>
    <row r="381" spans="2:3" x14ac:dyDescent="0.3">
      <c r="B381" s="58">
        <f t="shared" si="11"/>
        <v>383</v>
      </c>
      <c r="C381" s="58">
        <f t="shared" si="12"/>
        <v>0.19477806788511751</v>
      </c>
    </row>
    <row r="382" spans="2:3" x14ac:dyDescent="0.3">
      <c r="B382" s="58">
        <f t="shared" si="11"/>
        <v>384</v>
      </c>
      <c r="C382" s="58">
        <f t="shared" si="12"/>
        <v>0.19479166666666667</v>
      </c>
    </row>
    <row r="383" spans="2:3" x14ac:dyDescent="0.3">
      <c r="B383" s="58">
        <f t="shared" si="11"/>
        <v>385</v>
      </c>
      <c r="C383" s="58">
        <f t="shared" si="12"/>
        <v>0.19480519480519481</v>
      </c>
    </row>
    <row r="384" spans="2:3" x14ac:dyDescent="0.3">
      <c r="B384" s="58">
        <f t="shared" si="11"/>
        <v>386</v>
      </c>
      <c r="C384" s="58">
        <f t="shared" si="12"/>
        <v>0.19481865284974095</v>
      </c>
    </row>
    <row r="385" spans="2:3" x14ac:dyDescent="0.3">
      <c r="B385" s="58">
        <f t="shared" si="11"/>
        <v>387</v>
      </c>
      <c r="C385" s="58">
        <f t="shared" si="12"/>
        <v>0.19483204134366927</v>
      </c>
    </row>
    <row r="386" spans="2:3" x14ac:dyDescent="0.3">
      <c r="B386" s="58">
        <f t="shared" si="11"/>
        <v>388</v>
      </c>
      <c r="C386" s="58">
        <f t="shared" si="12"/>
        <v>0.1948453608247423</v>
      </c>
    </row>
    <row r="387" spans="2:3" x14ac:dyDescent="0.3">
      <c r="B387" s="58">
        <f t="shared" si="11"/>
        <v>389</v>
      </c>
      <c r="C387" s="58">
        <f t="shared" si="12"/>
        <v>0.19485861182519279</v>
      </c>
    </row>
    <row r="388" spans="2:3" x14ac:dyDescent="0.3">
      <c r="B388" s="58">
        <f t="shared" si="11"/>
        <v>390</v>
      </c>
      <c r="C388" s="58">
        <f t="shared" si="12"/>
        <v>0.19487179487179487</v>
      </c>
    </row>
    <row r="389" spans="2:3" x14ac:dyDescent="0.3">
      <c r="B389" s="58">
        <f t="shared" si="11"/>
        <v>391</v>
      </c>
      <c r="C389" s="58">
        <f t="shared" si="12"/>
        <v>0.19488491048593351</v>
      </c>
    </row>
    <row r="390" spans="2:3" x14ac:dyDescent="0.3">
      <c r="B390" s="58">
        <f t="shared" si="11"/>
        <v>392</v>
      </c>
      <c r="C390" s="58">
        <f t="shared" si="12"/>
        <v>0.19489795918367347</v>
      </c>
    </row>
    <row r="391" spans="2:3" x14ac:dyDescent="0.3">
      <c r="B391" s="58">
        <f t="shared" si="11"/>
        <v>393</v>
      </c>
      <c r="C391" s="58">
        <f t="shared" si="12"/>
        <v>0.19491094147582699</v>
      </c>
    </row>
    <row r="392" spans="2:3" x14ac:dyDescent="0.3">
      <c r="B392" s="58">
        <f t="shared" si="11"/>
        <v>394</v>
      </c>
      <c r="C392" s="58">
        <f t="shared" si="12"/>
        <v>0.19492385786802033</v>
      </c>
    </row>
    <row r="393" spans="2:3" x14ac:dyDescent="0.3">
      <c r="B393" s="58">
        <f t="shared" si="11"/>
        <v>395</v>
      </c>
      <c r="C393" s="58">
        <f t="shared" si="12"/>
        <v>0.19493670886075951</v>
      </c>
    </row>
    <row r="394" spans="2:3" x14ac:dyDescent="0.3">
      <c r="B394" s="58">
        <f t="shared" ref="B394:B457" si="13">+B393+1</f>
        <v>396</v>
      </c>
      <c r="C394" s="58">
        <f t="shared" si="12"/>
        <v>0.19494949494949496</v>
      </c>
    </row>
    <row r="395" spans="2:3" x14ac:dyDescent="0.3">
      <c r="B395" s="58">
        <f t="shared" si="13"/>
        <v>397</v>
      </c>
      <c r="C395" s="58">
        <f t="shared" si="12"/>
        <v>0.19496221662468516</v>
      </c>
    </row>
    <row r="396" spans="2:3" x14ac:dyDescent="0.3">
      <c r="B396" s="58">
        <f t="shared" si="13"/>
        <v>398</v>
      </c>
      <c r="C396" s="58">
        <f t="shared" si="12"/>
        <v>0.19497487437185931</v>
      </c>
    </row>
    <row r="397" spans="2:3" x14ac:dyDescent="0.3">
      <c r="B397" s="58">
        <f t="shared" si="13"/>
        <v>399</v>
      </c>
      <c r="C397" s="58">
        <f t="shared" si="12"/>
        <v>0.19498746867167924</v>
      </c>
    </row>
    <row r="398" spans="2:3" x14ac:dyDescent="0.3">
      <c r="B398" s="58">
        <f t="shared" si="13"/>
        <v>400</v>
      </c>
      <c r="C398" s="58">
        <f t="shared" si="12"/>
        <v>0.19500000000000001</v>
      </c>
    </row>
    <row r="399" spans="2:3" x14ac:dyDescent="0.3">
      <c r="B399" s="58">
        <f t="shared" si="13"/>
        <v>401</v>
      </c>
      <c r="C399" s="58">
        <f t="shared" si="12"/>
        <v>0.19501246882793019</v>
      </c>
    </row>
    <row r="400" spans="2:3" x14ac:dyDescent="0.3">
      <c r="B400" s="58">
        <f t="shared" si="13"/>
        <v>402</v>
      </c>
      <c r="C400" s="58">
        <f t="shared" si="12"/>
        <v>0.19502487562189055</v>
      </c>
    </row>
    <row r="401" spans="2:3" x14ac:dyDescent="0.3">
      <c r="B401" s="58">
        <f t="shared" si="13"/>
        <v>403</v>
      </c>
      <c r="C401" s="58">
        <f t="shared" si="12"/>
        <v>0.19503722084367248</v>
      </c>
    </row>
    <row r="402" spans="2:3" x14ac:dyDescent="0.3">
      <c r="B402" s="58">
        <f t="shared" si="13"/>
        <v>404</v>
      </c>
      <c r="C402" s="58">
        <f t="shared" si="12"/>
        <v>0.19504950495049508</v>
      </c>
    </row>
    <row r="403" spans="2:3" x14ac:dyDescent="0.3">
      <c r="B403" s="58">
        <f t="shared" si="13"/>
        <v>405</v>
      </c>
      <c r="C403" s="58">
        <f t="shared" si="12"/>
        <v>0.19506172839506172</v>
      </c>
    </row>
    <row r="404" spans="2:3" x14ac:dyDescent="0.3">
      <c r="B404" s="58">
        <f t="shared" si="13"/>
        <v>406</v>
      </c>
      <c r="C404" s="58">
        <f t="shared" si="12"/>
        <v>0.19507389162561578</v>
      </c>
    </row>
    <row r="405" spans="2:3" x14ac:dyDescent="0.3">
      <c r="B405" s="58">
        <f t="shared" si="13"/>
        <v>407</v>
      </c>
      <c r="C405" s="58">
        <f t="shared" ref="C405:C468" si="14">+$C$6*(B405-$B$8)/B405</f>
        <v>0.19508599508599511</v>
      </c>
    </row>
    <row r="406" spans="2:3" x14ac:dyDescent="0.3">
      <c r="B406" s="58">
        <f t="shared" si="13"/>
        <v>408</v>
      </c>
      <c r="C406" s="58">
        <f t="shared" si="14"/>
        <v>0.1950980392156863</v>
      </c>
    </row>
    <row r="407" spans="2:3" x14ac:dyDescent="0.3">
      <c r="B407" s="58">
        <f t="shared" si="13"/>
        <v>409</v>
      </c>
      <c r="C407" s="58">
        <f t="shared" si="14"/>
        <v>0.19511002444987777</v>
      </c>
    </row>
    <row r="408" spans="2:3" x14ac:dyDescent="0.3">
      <c r="B408" s="58">
        <f t="shared" si="13"/>
        <v>410</v>
      </c>
      <c r="C408" s="58">
        <f t="shared" si="14"/>
        <v>0.1951219512195122</v>
      </c>
    </row>
    <row r="409" spans="2:3" x14ac:dyDescent="0.3">
      <c r="B409" s="58">
        <f t="shared" si="13"/>
        <v>411</v>
      </c>
      <c r="C409" s="58">
        <f t="shared" si="14"/>
        <v>0.19513381995133822</v>
      </c>
    </row>
    <row r="410" spans="2:3" x14ac:dyDescent="0.3">
      <c r="B410" s="58">
        <f t="shared" si="13"/>
        <v>412</v>
      </c>
      <c r="C410" s="58">
        <f t="shared" si="14"/>
        <v>0.19514563106796118</v>
      </c>
    </row>
    <row r="411" spans="2:3" x14ac:dyDescent="0.3">
      <c r="B411" s="58">
        <f t="shared" si="13"/>
        <v>413</v>
      </c>
      <c r="C411" s="58">
        <f t="shared" si="14"/>
        <v>0.19515738498789348</v>
      </c>
    </row>
    <row r="412" spans="2:3" x14ac:dyDescent="0.3">
      <c r="B412" s="58">
        <f t="shared" si="13"/>
        <v>414</v>
      </c>
      <c r="C412" s="58">
        <f t="shared" si="14"/>
        <v>0.19516908212560388</v>
      </c>
    </row>
    <row r="413" spans="2:3" x14ac:dyDescent="0.3">
      <c r="B413" s="58">
        <f t="shared" si="13"/>
        <v>415</v>
      </c>
      <c r="C413" s="58">
        <f t="shared" si="14"/>
        <v>0.19518072289156627</v>
      </c>
    </row>
    <row r="414" spans="2:3" x14ac:dyDescent="0.3">
      <c r="B414" s="58">
        <f t="shared" si="13"/>
        <v>416</v>
      </c>
      <c r="C414" s="58">
        <f t="shared" si="14"/>
        <v>0.19519230769230769</v>
      </c>
    </row>
    <row r="415" spans="2:3" x14ac:dyDescent="0.3">
      <c r="B415" s="58">
        <f t="shared" si="13"/>
        <v>417</v>
      </c>
      <c r="C415" s="58">
        <f t="shared" si="14"/>
        <v>0.19520383693045565</v>
      </c>
    </row>
    <row r="416" spans="2:3" x14ac:dyDescent="0.3">
      <c r="B416" s="58">
        <f t="shared" si="13"/>
        <v>418</v>
      </c>
      <c r="C416" s="58">
        <f t="shared" si="14"/>
        <v>0.1952153110047847</v>
      </c>
    </row>
    <row r="417" spans="2:3" x14ac:dyDescent="0.3">
      <c r="B417" s="58">
        <f t="shared" si="13"/>
        <v>419</v>
      </c>
      <c r="C417" s="58">
        <f t="shared" si="14"/>
        <v>0.19522673031026255</v>
      </c>
    </row>
    <row r="418" spans="2:3" x14ac:dyDescent="0.3">
      <c r="B418" s="58">
        <f t="shared" si="13"/>
        <v>420</v>
      </c>
      <c r="C418" s="58">
        <f t="shared" si="14"/>
        <v>0.19523809523809524</v>
      </c>
    </row>
    <row r="419" spans="2:3" x14ac:dyDescent="0.3">
      <c r="B419" s="58">
        <f t="shared" si="13"/>
        <v>421</v>
      </c>
      <c r="C419" s="58">
        <f t="shared" si="14"/>
        <v>0.19524940617577197</v>
      </c>
    </row>
    <row r="420" spans="2:3" x14ac:dyDescent="0.3">
      <c r="B420" s="58">
        <f t="shared" si="13"/>
        <v>422</v>
      </c>
      <c r="C420" s="58">
        <f t="shared" si="14"/>
        <v>0.19526066350710902</v>
      </c>
    </row>
    <row r="421" spans="2:3" x14ac:dyDescent="0.3">
      <c r="B421" s="58">
        <f t="shared" si="13"/>
        <v>423</v>
      </c>
      <c r="C421" s="58">
        <f t="shared" si="14"/>
        <v>0.19527186761229318</v>
      </c>
    </row>
    <row r="422" spans="2:3" x14ac:dyDescent="0.3">
      <c r="B422" s="58">
        <f t="shared" si="13"/>
        <v>424</v>
      </c>
      <c r="C422" s="58">
        <f t="shared" si="14"/>
        <v>0.19528301886792457</v>
      </c>
    </row>
    <row r="423" spans="2:3" x14ac:dyDescent="0.3">
      <c r="B423" s="58">
        <f t="shared" si="13"/>
        <v>425</v>
      </c>
      <c r="C423" s="58">
        <f t="shared" si="14"/>
        <v>0.19529411764705881</v>
      </c>
    </row>
    <row r="424" spans="2:3" x14ac:dyDescent="0.3">
      <c r="B424" s="58">
        <f t="shared" si="13"/>
        <v>426</v>
      </c>
      <c r="C424" s="58">
        <f t="shared" si="14"/>
        <v>0.19530516431924883</v>
      </c>
    </row>
    <row r="425" spans="2:3" x14ac:dyDescent="0.3">
      <c r="B425" s="58">
        <f t="shared" si="13"/>
        <v>427</v>
      </c>
      <c r="C425" s="58">
        <f t="shared" si="14"/>
        <v>0.19531615925058549</v>
      </c>
    </row>
    <row r="426" spans="2:3" x14ac:dyDescent="0.3">
      <c r="B426" s="58">
        <f t="shared" si="13"/>
        <v>428</v>
      </c>
      <c r="C426" s="58">
        <f t="shared" si="14"/>
        <v>0.19532710280373833</v>
      </c>
    </row>
    <row r="427" spans="2:3" x14ac:dyDescent="0.3">
      <c r="B427" s="58">
        <f t="shared" si="13"/>
        <v>429</v>
      </c>
      <c r="C427" s="58">
        <f t="shared" si="14"/>
        <v>0.19533799533799537</v>
      </c>
    </row>
    <row r="428" spans="2:3" x14ac:dyDescent="0.3">
      <c r="B428" s="58">
        <f t="shared" si="13"/>
        <v>430</v>
      </c>
      <c r="C428" s="58">
        <f t="shared" si="14"/>
        <v>0.19534883720930232</v>
      </c>
    </row>
    <row r="429" spans="2:3" x14ac:dyDescent="0.3">
      <c r="B429" s="58">
        <f t="shared" si="13"/>
        <v>431</v>
      </c>
      <c r="C429" s="58">
        <f t="shared" si="14"/>
        <v>0.19535962877030164</v>
      </c>
    </row>
    <row r="430" spans="2:3" x14ac:dyDescent="0.3">
      <c r="B430" s="58">
        <f t="shared" si="13"/>
        <v>432</v>
      </c>
      <c r="C430" s="58">
        <f t="shared" si="14"/>
        <v>0.19537037037037039</v>
      </c>
    </row>
    <row r="431" spans="2:3" x14ac:dyDescent="0.3">
      <c r="B431" s="58">
        <f t="shared" si="13"/>
        <v>433</v>
      </c>
      <c r="C431" s="58">
        <f t="shared" si="14"/>
        <v>0.19538106235565822</v>
      </c>
    </row>
    <row r="432" spans="2:3" x14ac:dyDescent="0.3">
      <c r="B432" s="58">
        <f t="shared" si="13"/>
        <v>434</v>
      </c>
      <c r="C432" s="58">
        <f t="shared" si="14"/>
        <v>0.19539170506912446</v>
      </c>
    </row>
    <row r="433" spans="2:3" x14ac:dyDescent="0.3">
      <c r="B433" s="58">
        <f t="shared" si="13"/>
        <v>435</v>
      </c>
      <c r="C433" s="58">
        <f t="shared" si="14"/>
        <v>0.19540229885057472</v>
      </c>
    </row>
    <row r="434" spans="2:3" x14ac:dyDescent="0.3">
      <c r="B434" s="58">
        <f t="shared" si="13"/>
        <v>436</v>
      </c>
      <c r="C434" s="58">
        <f t="shared" si="14"/>
        <v>0.19541284403669726</v>
      </c>
    </row>
    <row r="435" spans="2:3" x14ac:dyDescent="0.3">
      <c r="B435" s="58">
        <f t="shared" si="13"/>
        <v>437</v>
      </c>
      <c r="C435" s="58">
        <f t="shared" si="14"/>
        <v>0.19542334096109842</v>
      </c>
    </row>
    <row r="436" spans="2:3" x14ac:dyDescent="0.3">
      <c r="B436" s="58">
        <f t="shared" si="13"/>
        <v>438</v>
      </c>
      <c r="C436" s="58">
        <f t="shared" si="14"/>
        <v>0.19543378995433791</v>
      </c>
    </row>
    <row r="437" spans="2:3" x14ac:dyDescent="0.3">
      <c r="B437" s="58">
        <f t="shared" si="13"/>
        <v>439</v>
      </c>
      <c r="C437" s="58">
        <f t="shared" si="14"/>
        <v>0.19544419134396357</v>
      </c>
    </row>
    <row r="438" spans="2:3" x14ac:dyDescent="0.3">
      <c r="B438" s="58">
        <f t="shared" si="13"/>
        <v>440</v>
      </c>
      <c r="C438" s="58">
        <f t="shared" si="14"/>
        <v>0.19545454545454546</v>
      </c>
    </row>
    <row r="439" spans="2:3" x14ac:dyDescent="0.3">
      <c r="B439" s="58">
        <f t="shared" si="13"/>
        <v>441</v>
      </c>
      <c r="C439" s="58">
        <f t="shared" si="14"/>
        <v>0.19546485260770977</v>
      </c>
    </row>
    <row r="440" spans="2:3" x14ac:dyDescent="0.3">
      <c r="B440" s="58">
        <f t="shared" si="13"/>
        <v>442</v>
      </c>
      <c r="C440" s="58">
        <f t="shared" si="14"/>
        <v>0.19547511312217195</v>
      </c>
    </row>
    <row r="441" spans="2:3" x14ac:dyDescent="0.3">
      <c r="B441" s="58">
        <f t="shared" si="13"/>
        <v>443</v>
      </c>
      <c r="C441" s="58">
        <f t="shared" si="14"/>
        <v>0.19548532731376977</v>
      </c>
    </row>
    <row r="442" spans="2:3" x14ac:dyDescent="0.3">
      <c r="B442" s="58">
        <f t="shared" si="13"/>
        <v>444</v>
      </c>
      <c r="C442" s="58">
        <f t="shared" si="14"/>
        <v>0.19549549549549552</v>
      </c>
    </row>
    <row r="443" spans="2:3" x14ac:dyDescent="0.3">
      <c r="B443" s="58">
        <f t="shared" si="13"/>
        <v>445</v>
      </c>
      <c r="C443" s="58">
        <f t="shared" si="14"/>
        <v>0.19550561797752808</v>
      </c>
    </row>
    <row r="444" spans="2:3" x14ac:dyDescent="0.3">
      <c r="B444" s="58">
        <f t="shared" si="13"/>
        <v>446</v>
      </c>
      <c r="C444" s="58">
        <f t="shared" si="14"/>
        <v>0.19551569506726457</v>
      </c>
    </row>
    <row r="445" spans="2:3" x14ac:dyDescent="0.3">
      <c r="B445" s="58">
        <f t="shared" si="13"/>
        <v>447</v>
      </c>
      <c r="C445" s="58">
        <f t="shared" si="14"/>
        <v>0.19552572706935123</v>
      </c>
    </row>
    <row r="446" spans="2:3" x14ac:dyDescent="0.3">
      <c r="B446" s="58">
        <f t="shared" si="13"/>
        <v>448</v>
      </c>
      <c r="C446" s="58">
        <f t="shared" si="14"/>
        <v>0.19553571428571431</v>
      </c>
    </row>
    <row r="447" spans="2:3" x14ac:dyDescent="0.3">
      <c r="B447" s="58">
        <f t="shared" si="13"/>
        <v>449</v>
      </c>
      <c r="C447" s="58">
        <f t="shared" si="14"/>
        <v>0.19554565701559024</v>
      </c>
    </row>
    <row r="448" spans="2:3" x14ac:dyDescent="0.3">
      <c r="B448" s="58">
        <f t="shared" si="13"/>
        <v>450</v>
      </c>
      <c r="C448" s="58">
        <f t="shared" si="14"/>
        <v>0.19555555555555557</v>
      </c>
    </row>
    <row r="449" spans="2:3" x14ac:dyDescent="0.3">
      <c r="B449" s="58">
        <f t="shared" si="13"/>
        <v>451</v>
      </c>
      <c r="C449" s="58">
        <f t="shared" si="14"/>
        <v>0.19556541019955656</v>
      </c>
    </row>
    <row r="450" spans="2:3" x14ac:dyDescent="0.3">
      <c r="B450" s="58">
        <f t="shared" si="13"/>
        <v>452</v>
      </c>
      <c r="C450" s="58">
        <f t="shared" si="14"/>
        <v>0.19557522123893806</v>
      </c>
    </row>
    <row r="451" spans="2:3" x14ac:dyDescent="0.3">
      <c r="B451" s="58">
        <f t="shared" si="13"/>
        <v>453</v>
      </c>
      <c r="C451" s="58">
        <f t="shared" si="14"/>
        <v>0.19558498896247242</v>
      </c>
    </row>
    <row r="452" spans="2:3" x14ac:dyDescent="0.3">
      <c r="B452" s="58">
        <f t="shared" si="13"/>
        <v>454</v>
      </c>
      <c r="C452" s="58">
        <f t="shared" si="14"/>
        <v>0.1955947136563877</v>
      </c>
    </row>
    <row r="453" spans="2:3" x14ac:dyDescent="0.3">
      <c r="B453" s="58">
        <f t="shared" si="13"/>
        <v>455</v>
      </c>
      <c r="C453" s="58">
        <f t="shared" si="14"/>
        <v>0.1956043956043956</v>
      </c>
    </row>
    <row r="454" spans="2:3" x14ac:dyDescent="0.3">
      <c r="B454" s="58">
        <f t="shared" si="13"/>
        <v>456</v>
      </c>
      <c r="C454" s="58">
        <f t="shared" si="14"/>
        <v>0.1956140350877193</v>
      </c>
    </row>
    <row r="455" spans="2:3" x14ac:dyDescent="0.3">
      <c r="B455" s="58">
        <f t="shared" si="13"/>
        <v>457</v>
      </c>
      <c r="C455" s="58">
        <f t="shared" si="14"/>
        <v>0.19562363238512037</v>
      </c>
    </row>
    <row r="456" spans="2:3" x14ac:dyDescent="0.3">
      <c r="B456" s="58">
        <f t="shared" si="13"/>
        <v>458</v>
      </c>
      <c r="C456" s="58">
        <f t="shared" si="14"/>
        <v>0.19563318777292579</v>
      </c>
    </row>
    <row r="457" spans="2:3" x14ac:dyDescent="0.3">
      <c r="B457" s="58">
        <f t="shared" si="13"/>
        <v>459</v>
      </c>
      <c r="C457" s="58">
        <f t="shared" si="14"/>
        <v>0.1956427015250545</v>
      </c>
    </row>
    <row r="458" spans="2:3" x14ac:dyDescent="0.3">
      <c r="B458" s="58">
        <f t="shared" ref="B458:B521" si="15">+B457+1</f>
        <v>460</v>
      </c>
      <c r="C458" s="58">
        <f t="shared" si="14"/>
        <v>0.19565217391304349</v>
      </c>
    </row>
    <row r="459" spans="2:3" x14ac:dyDescent="0.3">
      <c r="B459" s="58">
        <f t="shared" si="15"/>
        <v>461</v>
      </c>
      <c r="C459" s="58">
        <f t="shared" si="14"/>
        <v>0.19566160520607376</v>
      </c>
    </row>
    <row r="460" spans="2:3" x14ac:dyDescent="0.3">
      <c r="B460" s="58">
        <f t="shared" si="15"/>
        <v>462</v>
      </c>
      <c r="C460" s="58">
        <f t="shared" si="14"/>
        <v>0.19567099567099569</v>
      </c>
    </row>
    <row r="461" spans="2:3" x14ac:dyDescent="0.3">
      <c r="B461" s="58">
        <f t="shared" si="15"/>
        <v>463</v>
      </c>
      <c r="C461" s="58">
        <f t="shared" si="14"/>
        <v>0.19568034557235423</v>
      </c>
    </row>
    <row r="462" spans="2:3" x14ac:dyDescent="0.3">
      <c r="B462" s="58">
        <f t="shared" si="15"/>
        <v>464</v>
      </c>
      <c r="C462" s="58">
        <f t="shared" si="14"/>
        <v>0.19568965517241382</v>
      </c>
    </row>
    <row r="463" spans="2:3" x14ac:dyDescent="0.3">
      <c r="B463" s="58">
        <f t="shared" si="15"/>
        <v>465</v>
      </c>
      <c r="C463" s="58">
        <f t="shared" si="14"/>
        <v>0.19569892473118281</v>
      </c>
    </row>
    <row r="464" spans="2:3" x14ac:dyDescent="0.3">
      <c r="B464" s="58">
        <f t="shared" si="15"/>
        <v>466</v>
      </c>
      <c r="C464" s="58">
        <f t="shared" si="14"/>
        <v>0.19570815450643778</v>
      </c>
    </row>
    <row r="465" spans="2:3" x14ac:dyDescent="0.3">
      <c r="B465" s="58">
        <f t="shared" si="15"/>
        <v>467</v>
      </c>
      <c r="C465" s="58">
        <f t="shared" si="14"/>
        <v>0.19571734475374733</v>
      </c>
    </row>
    <row r="466" spans="2:3" x14ac:dyDescent="0.3">
      <c r="B466" s="58">
        <f t="shared" si="15"/>
        <v>468</v>
      </c>
      <c r="C466" s="58">
        <f t="shared" si="14"/>
        <v>0.19572649572649575</v>
      </c>
    </row>
    <row r="467" spans="2:3" x14ac:dyDescent="0.3">
      <c r="B467" s="58">
        <f t="shared" si="15"/>
        <v>469</v>
      </c>
      <c r="C467" s="58">
        <f t="shared" si="14"/>
        <v>0.1957356076759062</v>
      </c>
    </row>
    <row r="468" spans="2:3" x14ac:dyDescent="0.3">
      <c r="B468" s="58">
        <f t="shared" si="15"/>
        <v>470</v>
      </c>
      <c r="C468" s="58">
        <f t="shared" si="14"/>
        <v>0.19574468085106383</v>
      </c>
    </row>
    <row r="469" spans="2:3" x14ac:dyDescent="0.3">
      <c r="B469" s="58">
        <f t="shared" si="15"/>
        <v>471</v>
      </c>
      <c r="C469" s="58">
        <f t="shared" ref="C469:C532" si="16">+$C$6*(B469-$B$8)/B469</f>
        <v>0.19575371549893844</v>
      </c>
    </row>
    <row r="470" spans="2:3" x14ac:dyDescent="0.3">
      <c r="B470" s="58">
        <f t="shared" si="15"/>
        <v>472</v>
      </c>
      <c r="C470" s="58">
        <f t="shared" si="16"/>
        <v>0.1957627118644068</v>
      </c>
    </row>
    <row r="471" spans="2:3" x14ac:dyDescent="0.3">
      <c r="B471" s="58">
        <f t="shared" si="15"/>
        <v>473</v>
      </c>
      <c r="C471" s="58">
        <f t="shared" si="16"/>
        <v>0.19577167019027486</v>
      </c>
    </row>
    <row r="472" spans="2:3" x14ac:dyDescent="0.3">
      <c r="B472" s="58">
        <f t="shared" si="15"/>
        <v>474</v>
      </c>
      <c r="C472" s="58">
        <f t="shared" si="16"/>
        <v>0.19578059071729961</v>
      </c>
    </row>
    <row r="473" spans="2:3" x14ac:dyDescent="0.3">
      <c r="B473" s="58">
        <f t="shared" si="15"/>
        <v>475</v>
      </c>
      <c r="C473" s="58">
        <f t="shared" si="16"/>
        <v>0.19578947368421051</v>
      </c>
    </row>
    <row r="474" spans="2:3" x14ac:dyDescent="0.3">
      <c r="B474" s="58">
        <f t="shared" si="15"/>
        <v>476</v>
      </c>
      <c r="C474" s="58">
        <f t="shared" si="16"/>
        <v>0.19579831932773109</v>
      </c>
    </row>
    <row r="475" spans="2:3" x14ac:dyDescent="0.3">
      <c r="B475" s="58">
        <f t="shared" si="15"/>
        <v>477</v>
      </c>
      <c r="C475" s="58">
        <f t="shared" si="16"/>
        <v>0.1958071278825996</v>
      </c>
    </row>
    <row r="476" spans="2:3" x14ac:dyDescent="0.3">
      <c r="B476" s="58">
        <f t="shared" si="15"/>
        <v>478</v>
      </c>
      <c r="C476" s="58">
        <f t="shared" si="16"/>
        <v>0.19581589958158999</v>
      </c>
    </row>
    <row r="477" spans="2:3" x14ac:dyDescent="0.3">
      <c r="B477" s="58">
        <f t="shared" si="15"/>
        <v>479</v>
      </c>
      <c r="C477" s="58">
        <f t="shared" si="16"/>
        <v>0.19582463465553238</v>
      </c>
    </row>
    <row r="478" spans="2:3" x14ac:dyDescent="0.3">
      <c r="B478" s="58">
        <f t="shared" si="15"/>
        <v>480</v>
      </c>
      <c r="C478" s="58">
        <f t="shared" si="16"/>
        <v>0.19583333333333333</v>
      </c>
    </row>
    <row r="479" spans="2:3" x14ac:dyDescent="0.3">
      <c r="B479" s="58">
        <f t="shared" si="15"/>
        <v>481</v>
      </c>
      <c r="C479" s="58">
        <f t="shared" si="16"/>
        <v>0.19584199584199585</v>
      </c>
    </row>
    <row r="480" spans="2:3" x14ac:dyDescent="0.3">
      <c r="B480" s="58">
        <f t="shared" si="15"/>
        <v>482</v>
      </c>
      <c r="C480" s="58">
        <f t="shared" si="16"/>
        <v>0.195850622406639</v>
      </c>
    </row>
    <row r="481" spans="2:3" x14ac:dyDescent="0.3">
      <c r="B481" s="58">
        <f t="shared" si="15"/>
        <v>483</v>
      </c>
      <c r="C481" s="58">
        <f t="shared" si="16"/>
        <v>0.19585921325051761</v>
      </c>
    </row>
    <row r="482" spans="2:3" x14ac:dyDescent="0.3">
      <c r="B482" s="58">
        <f t="shared" si="15"/>
        <v>484</v>
      </c>
      <c r="C482" s="58">
        <f t="shared" si="16"/>
        <v>0.19586776859504135</v>
      </c>
    </row>
    <row r="483" spans="2:3" x14ac:dyDescent="0.3">
      <c r="B483" s="58">
        <f t="shared" si="15"/>
        <v>485</v>
      </c>
      <c r="C483" s="58">
        <f t="shared" si="16"/>
        <v>0.19587628865979381</v>
      </c>
    </row>
    <row r="484" spans="2:3" x14ac:dyDescent="0.3">
      <c r="B484" s="58">
        <f t="shared" si="15"/>
        <v>486</v>
      </c>
      <c r="C484" s="58">
        <f t="shared" si="16"/>
        <v>0.19588477366255144</v>
      </c>
    </row>
    <row r="485" spans="2:3" x14ac:dyDescent="0.3">
      <c r="B485" s="58">
        <f t="shared" si="15"/>
        <v>487</v>
      </c>
      <c r="C485" s="58">
        <f t="shared" si="16"/>
        <v>0.19589322381930185</v>
      </c>
    </row>
    <row r="486" spans="2:3" x14ac:dyDescent="0.3">
      <c r="B486" s="58">
        <f t="shared" si="15"/>
        <v>488</v>
      </c>
      <c r="C486" s="58">
        <f t="shared" si="16"/>
        <v>0.1959016393442623</v>
      </c>
    </row>
    <row r="487" spans="2:3" x14ac:dyDescent="0.3">
      <c r="B487" s="58">
        <f t="shared" si="15"/>
        <v>489</v>
      </c>
      <c r="C487" s="58">
        <f t="shared" si="16"/>
        <v>0.19591002044989778</v>
      </c>
    </row>
    <row r="488" spans="2:3" x14ac:dyDescent="0.3">
      <c r="B488" s="58">
        <f t="shared" si="15"/>
        <v>490</v>
      </c>
      <c r="C488" s="58">
        <f t="shared" si="16"/>
        <v>0.19591836734693877</v>
      </c>
    </row>
    <row r="489" spans="2:3" x14ac:dyDescent="0.3">
      <c r="B489" s="58">
        <f t="shared" si="15"/>
        <v>491</v>
      </c>
      <c r="C489" s="58">
        <f t="shared" si="16"/>
        <v>0.19592668024439919</v>
      </c>
    </row>
    <row r="490" spans="2:3" x14ac:dyDescent="0.3">
      <c r="B490" s="58">
        <f t="shared" si="15"/>
        <v>492</v>
      </c>
      <c r="C490" s="58">
        <f t="shared" si="16"/>
        <v>0.19593495934959351</v>
      </c>
    </row>
    <row r="491" spans="2:3" x14ac:dyDescent="0.3">
      <c r="B491" s="58">
        <f t="shared" si="15"/>
        <v>493</v>
      </c>
      <c r="C491" s="58">
        <f t="shared" si="16"/>
        <v>0.19594320486815417</v>
      </c>
    </row>
    <row r="492" spans="2:3" x14ac:dyDescent="0.3">
      <c r="B492" s="58">
        <f t="shared" si="15"/>
        <v>494</v>
      </c>
      <c r="C492" s="58">
        <f t="shared" si="16"/>
        <v>0.19595141700404861</v>
      </c>
    </row>
    <row r="493" spans="2:3" x14ac:dyDescent="0.3">
      <c r="B493" s="58">
        <f t="shared" si="15"/>
        <v>495</v>
      </c>
      <c r="C493" s="58">
        <f t="shared" si="16"/>
        <v>0.19595959595959597</v>
      </c>
    </row>
    <row r="494" spans="2:3" x14ac:dyDescent="0.3">
      <c r="B494" s="58">
        <f t="shared" si="15"/>
        <v>496</v>
      </c>
      <c r="C494" s="58">
        <f t="shared" si="16"/>
        <v>0.19596774193548389</v>
      </c>
    </row>
    <row r="495" spans="2:3" x14ac:dyDescent="0.3">
      <c r="B495" s="58">
        <f t="shared" si="15"/>
        <v>497</v>
      </c>
      <c r="C495" s="58">
        <f t="shared" si="16"/>
        <v>0.19597585513078472</v>
      </c>
    </row>
    <row r="496" spans="2:3" x14ac:dyDescent="0.3">
      <c r="B496" s="58">
        <f t="shared" si="15"/>
        <v>498</v>
      </c>
      <c r="C496" s="58">
        <f t="shared" si="16"/>
        <v>0.1959839357429719</v>
      </c>
    </row>
    <row r="497" spans="2:3" x14ac:dyDescent="0.3">
      <c r="B497" s="58">
        <f t="shared" si="15"/>
        <v>499</v>
      </c>
      <c r="C497" s="58">
        <f t="shared" si="16"/>
        <v>0.19599198396793591</v>
      </c>
    </row>
    <row r="498" spans="2:3" x14ac:dyDescent="0.3">
      <c r="B498" s="58">
        <f t="shared" si="15"/>
        <v>500</v>
      </c>
      <c r="C498" s="58">
        <f t="shared" si="16"/>
        <v>0.19600000000000001</v>
      </c>
    </row>
    <row r="499" spans="2:3" x14ac:dyDescent="0.3">
      <c r="B499" s="58">
        <f t="shared" si="15"/>
        <v>501</v>
      </c>
      <c r="C499" s="58">
        <f t="shared" si="16"/>
        <v>0.19600798403193614</v>
      </c>
    </row>
    <row r="500" spans="2:3" x14ac:dyDescent="0.3">
      <c r="B500" s="58">
        <f t="shared" si="15"/>
        <v>502</v>
      </c>
      <c r="C500" s="58">
        <f t="shared" si="16"/>
        <v>0.19601593625498009</v>
      </c>
    </row>
    <row r="501" spans="2:3" x14ac:dyDescent="0.3">
      <c r="B501" s="58">
        <f t="shared" si="15"/>
        <v>503</v>
      </c>
      <c r="C501" s="58">
        <f t="shared" si="16"/>
        <v>0.19602385685884693</v>
      </c>
    </row>
    <row r="502" spans="2:3" x14ac:dyDescent="0.3">
      <c r="B502" s="58">
        <f t="shared" si="15"/>
        <v>504</v>
      </c>
      <c r="C502" s="58">
        <f t="shared" si="16"/>
        <v>0.19603174603174606</v>
      </c>
    </row>
    <row r="503" spans="2:3" x14ac:dyDescent="0.3">
      <c r="B503" s="58">
        <f t="shared" si="15"/>
        <v>505</v>
      </c>
      <c r="C503" s="58">
        <f t="shared" si="16"/>
        <v>0.19603960396039605</v>
      </c>
    </row>
    <row r="504" spans="2:3" x14ac:dyDescent="0.3">
      <c r="B504" s="58">
        <f t="shared" si="15"/>
        <v>506</v>
      </c>
      <c r="C504" s="58">
        <f t="shared" si="16"/>
        <v>0.19604743083003953</v>
      </c>
    </row>
    <row r="505" spans="2:3" x14ac:dyDescent="0.3">
      <c r="B505" s="58">
        <f t="shared" si="15"/>
        <v>507</v>
      </c>
      <c r="C505" s="58">
        <f t="shared" si="16"/>
        <v>0.19605522682445761</v>
      </c>
    </row>
    <row r="506" spans="2:3" x14ac:dyDescent="0.3">
      <c r="B506" s="58">
        <f t="shared" si="15"/>
        <v>508</v>
      </c>
      <c r="C506" s="58">
        <f t="shared" si="16"/>
        <v>0.19606299212598427</v>
      </c>
    </row>
    <row r="507" spans="2:3" x14ac:dyDescent="0.3">
      <c r="B507" s="58">
        <f t="shared" si="15"/>
        <v>509</v>
      </c>
      <c r="C507" s="58">
        <f t="shared" si="16"/>
        <v>0.19607072691552066</v>
      </c>
    </row>
    <row r="508" spans="2:3" x14ac:dyDescent="0.3">
      <c r="B508" s="58">
        <f t="shared" si="15"/>
        <v>510</v>
      </c>
      <c r="C508" s="58">
        <f t="shared" si="16"/>
        <v>0.19607843137254902</v>
      </c>
    </row>
    <row r="509" spans="2:3" x14ac:dyDescent="0.3">
      <c r="B509" s="58">
        <f t="shared" si="15"/>
        <v>511</v>
      </c>
      <c r="C509" s="58">
        <f t="shared" si="16"/>
        <v>0.19608610567514678</v>
      </c>
    </row>
    <row r="510" spans="2:3" x14ac:dyDescent="0.3">
      <c r="B510" s="58">
        <f t="shared" si="15"/>
        <v>512</v>
      </c>
      <c r="C510" s="58">
        <f t="shared" si="16"/>
        <v>0.19609375000000001</v>
      </c>
    </row>
    <row r="511" spans="2:3" x14ac:dyDescent="0.3">
      <c r="B511" s="58">
        <f t="shared" si="15"/>
        <v>513</v>
      </c>
      <c r="C511" s="58">
        <f t="shared" si="16"/>
        <v>0.19610136452241717</v>
      </c>
    </row>
    <row r="512" spans="2:3" x14ac:dyDescent="0.3">
      <c r="B512" s="58">
        <f t="shared" si="15"/>
        <v>514</v>
      </c>
      <c r="C512" s="58">
        <f t="shared" si="16"/>
        <v>0.19610894941634244</v>
      </c>
    </row>
    <row r="513" spans="2:3" x14ac:dyDescent="0.3">
      <c r="B513" s="58">
        <f t="shared" si="15"/>
        <v>515</v>
      </c>
      <c r="C513" s="58">
        <f t="shared" si="16"/>
        <v>0.19611650485436893</v>
      </c>
    </row>
    <row r="514" spans="2:3" x14ac:dyDescent="0.3">
      <c r="B514" s="58">
        <f t="shared" si="15"/>
        <v>516</v>
      </c>
      <c r="C514" s="58">
        <f t="shared" si="16"/>
        <v>0.19612403100775194</v>
      </c>
    </row>
    <row r="515" spans="2:3" x14ac:dyDescent="0.3">
      <c r="B515" s="58">
        <f t="shared" si="15"/>
        <v>517</v>
      </c>
      <c r="C515" s="58">
        <f t="shared" si="16"/>
        <v>0.19613152804642167</v>
      </c>
    </row>
    <row r="516" spans="2:3" x14ac:dyDescent="0.3">
      <c r="B516" s="58">
        <f t="shared" si="15"/>
        <v>518</v>
      </c>
      <c r="C516" s="58">
        <f t="shared" si="16"/>
        <v>0.19613899613899616</v>
      </c>
    </row>
    <row r="517" spans="2:3" x14ac:dyDescent="0.3">
      <c r="B517" s="58">
        <f t="shared" si="15"/>
        <v>519</v>
      </c>
      <c r="C517" s="58">
        <f t="shared" si="16"/>
        <v>0.19614643545279387</v>
      </c>
    </row>
    <row r="518" spans="2:3" x14ac:dyDescent="0.3">
      <c r="B518" s="58">
        <f t="shared" si="15"/>
        <v>520</v>
      </c>
      <c r="C518" s="58">
        <f t="shared" si="16"/>
        <v>0.19615384615384615</v>
      </c>
    </row>
    <row r="519" spans="2:3" x14ac:dyDescent="0.3">
      <c r="B519" s="58">
        <f t="shared" si="15"/>
        <v>521</v>
      </c>
      <c r="C519" s="58">
        <f t="shared" si="16"/>
        <v>0.1961612284069098</v>
      </c>
    </row>
    <row r="520" spans="2:3" x14ac:dyDescent="0.3">
      <c r="B520" s="58">
        <f t="shared" si="15"/>
        <v>522</v>
      </c>
      <c r="C520" s="58">
        <f t="shared" si="16"/>
        <v>0.19616858237547893</v>
      </c>
    </row>
    <row r="521" spans="2:3" x14ac:dyDescent="0.3">
      <c r="B521" s="58">
        <f t="shared" si="15"/>
        <v>523</v>
      </c>
      <c r="C521" s="58">
        <f t="shared" si="16"/>
        <v>0.19617590822179734</v>
      </c>
    </row>
    <row r="522" spans="2:3" x14ac:dyDescent="0.3">
      <c r="B522" s="58">
        <f t="shared" ref="B522:B548" si="17">+B521+1</f>
        <v>524</v>
      </c>
      <c r="C522" s="58">
        <f t="shared" si="16"/>
        <v>0.19618320610687026</v>
      </c>
    </row>
    <row r="523" spans="2:3" x14ac:dyDescent="0.3">
      <c r="B523" s="58">
        <f t="shared" si="17"/>
        <v>525</v>
      </c>
      <c r="C523" s="58">
        <f t="shared" si="16"/>
        <v>0.19619047619047619</v>
      </c>
    </row>
    <row r="524" spans="2:3" x14ac:dyDescent="0.3">
      <c r="B524" s="58">
        <f t="shared" si="17"/>
        <v>526</v>
      </c>
      <c r="C524" s="58">
        <f t="shared" si="16"/>
        <v>0.19619771863117871</v>
      </c>
    </row>
    <row r="525" spans="2:3" x14ac:dyDescent="0.3">
      <c r="B525" s="58">
        <f t="shared" si="17"/>
        <v>527</v>
      </c>
      <c r="C525" s="58">
        <f t="shared" si="16"/>
        <v>0.19620493358633778</v>
      </c>
    </row>
    <row r="526" spans="2:3" x14ac:dyDescent="0.3">
      <c r="B526" s="58">
        <f t="shared" si="17"/>
        <v>528</v>
      </c>
      <c r="C526" s="58">
        <f t="shared" si="16"/>
        <v>0.19621212121212123</v>
      </c>
    </row>
    <row r="527" spans="2:3" x14ac:dyDescent="0.3">
      <c r="B527" s="58">
        <f t="shared" si="17"/>
        <v>529</v>
      </c>
      <c r="C527" s="58">
        <f t="shared" si="16"/>
        <v>0.1962192816635161</v>
      </c>
    </row>
    <row r="528" spans="2:3" x14ac:dyDescent="0.3">
      <c r="B528" s="58">
        <f t="shared" si="17"/>
        <v>530</v>
      </c>
      <c r="C528" s="58">
        <f t="shared" si="16"/>
        <v>0.19622641509433963</v>
      </c>
    </row>
    <row r="529" spans="2:3" x14ac:dyDescent="0.3">
      <c r="B529" s="58">
        <f t="shared" si="17"/>
        <v>531</v>
      </c>
      <c r="C529" s="58">
        <f t="shared" si="16"/>
        <v>0.19623352165725047</v>
      </c>
    </row>
    <row r="530" spans="2:3" x14ac:dyDescent="0.3">
      <c r="B530" s="58">
        <f t="shared" si="17"/>
        <v>532</v>
      </c>
      <c r="C530" s="58">
        <f t="shared" si="16"/>
        <v>0.19624060150375941</v>
      </c>
    </row>
    <row r="531" spans="2:3" x14ac:dyDescent="0.3">
      <c r="B531" s="58">
        <f t="shared" si="17"/>
        <v>533</v>
      </c>
      <c r="C531" s="58">
        <f t="shared" si="16"/>
        <v>0.19624765478424017</v>
      </c>
    </row>
    <row r="532" spans="2:3" x14ac:dyDescent="0.3">
      <c r="B532" s="58">
        <f t="shared" si="17"/>
        <v>534</v>
      </c>
      <c r="C532" s="58">
        <f t="shared" si="16"/>
        <v>0.1962546816479401</v>
      </c>
    </row>
    <row r="533" spans="2:3" x14ac:dyDescent="0.3">
      <c r="B533" s="58">
        <f t="shared" si="17"/>
        <v>535</v>
      </c>
      <c r="C533" s="58">
        <f t="shared" ref="C533:C548" si="18">+$C$6*(B533-$B$8)/B533</f>
        <v>0.19626168224299065</v>
      </c>
    </row>
    <row r="534" spans="2:3" x14ac:dyDescent="0.3">
      <c r="B534" s="58">
        <f t="shared" si="17"/>
        <v>536</v>
      </c>
      <c r="C534" s="58">
        <f t="shared" si="18"/>
        <v>0.19626865671641791</v>
      </c>
    </row>
    <row r="535" spans="2:3" x14ac:dyDescent="0.3">
      <c r="B535" s="58">
        <f t="shared" si="17"/>
        <v>537</v>
      </c>
      <c r="C535" s="58">
        <f t="shared" si="18"/>
        <v>0.19627560521415272</v>
      </c>
    </row>
    <row r="536" spans="2:3" x14ac:dyDescent="0.3">
      <c r="B536" s="58">
        <f t="shared" si="17"/>
        <v>538</v>
      </c>
      <c r="C536" s="58">
        <f t="shared" si="18"/>
        <v>0.19628252788104092</v>
      </c>
    </row>
    <row r="537" spans="2:3" x14ac:dyDescent="0.3">
      <c r="B537" s="58">
        <f t="shared" si="17"/>
        <v>539</v>
      </c>
      <c r="C537" s="58">
        <f t="shared" si="18"/>
        <v>0.19628942486085346</v>
      </c>
    </row>
    <row r="538" spans="2:3" x14ac:dyDescent="0.3">
      <c r="B538" s="58">
        <f t="shared" si="17"/>
        <v>540</v>
      </c>
      <c r="C538" s="58">
        <f t="shared" si="18"/>
        <v>0.1962962962962963</v>
      </c>
    </row>
    <row r="539" spans="2:3" x14ac:dyDescent="0.3">
      <c r="B539" s="58">
        <f t="shared" si="17"/>
        <v>541</v>
      </c>
      <c r="C539" s="58">
        <f t="shared" si="18"/>
        <v>0.19630314232902032</v>
      </c>
    </row>
    <row r="540" spans="2:3" x14ac:dyDescent="0.3">
      <c r="B540" s="58">
        <f t="shared" si="17"/>
        <v>542</v>
      </c>
      <c r="C540" s="58">
        <f t="shared" si="18"/>
        <v>0.196309963099631</v>
      </c>
    </row>
    <row r="541" spans="2:3" x14ac:dyDescent="0.3">
      <c r="B541" s="58">
        <f t="shared" si="17"/>
        <v>543</v>
      </c>
      <c r="C541" s="58">
        <f t="shared" si="18"/>
        <v>0.19631675874769799</v>
      </c>
    </row>
    <row r="542" spans="2:3" x14ac:dyDescent="0.3">
      <c r="B542" s="58">
        <f t="shared" si="17"/>
        <v>544</v>
      </c>
      <c r="C542" s="58">
        <f t="shared" si="18"/>
        <v>0.19632352941176473</v>
      </c>
    </row>
    <row r="543" spans="2:3" x14ac:dyDescent="0.3">
      <c r="B543" s="58">
        <f t="shared" si="17"/>
        <v>545</v>
      </c>
      <c r="C543" s="58">
        <f t="shared" si="18"/>
        <v>0.19633027522935781</v>
      </c>
    </row>
    <row r="544" spans="2:3" x14ac:dyDescent="0.3">
      <c r="B544" s="58">
        <f t="shared" si="17"/>
        <v>546</v>
      </c>
      <c r="C544" s="58">
        <f t="shared" si="18"/>
        <v>0.19633699633699633</v>
      </c>
    </row>
    <row r="545" spans="2:3" x14ac:dyDescent="0.3">
      <c r="B545" s="58">
        <f t="shared" si="17"/>
        <v>547</v>
      </c>
      <c r="C545" s="58">
        <f t="shared" si="18"/>
        <v>0.19634369287020112</v>
      </c>
    </row>
    <row r="546" spans="2:3" x14ac:dyDescent="0.3">
      <c r="B546" s="58">
        <f t="shared" si="17"/>
        <v>548</v>
      </c>
      <c r="C546" s="58">
        <f t="shared" si="18"/>
        <v>0.19635036496350367</v>
      </c>
    </row>
    <row r="547" spans="2:3" x14ac:dyDescent="0.3">
      <c r="B547" s="58">
        <f t="shared" si="17"/>
        <v>549</v>
      </c>
      <c r="C547" s="58">
        <f t="shared" si="18"/>
        <v>0.19635701275045539</v>
      </c>
    </row>
    <row r="548" spans="2:3" x14ac:dyDescent="0.3">
      <c r="B548" s="58">
        <f t="shared" si="17"/>
        <v>550</v>
      </c>
      <c r="C548" s="58">
        <f t="shared" si="18"/>
        <v>0.19636363636363635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 sizeWithCells="1">
              <from>
                <xdr:col>3</xdr:col>
                <xdr:colOff>7620</xdr:colOff>
                <xdr:row>1</xdr:row>
                <xdr:rowOff>45720</xdr:rowOff>
              </from>
              <to>
                <xdr:col>5</xdr:col>
                <xdr:colOff>754380</xdr:colOff>
                <xdr:row>4</xdr:row>
                <xdr:rowOff>152400</xdr:rowOff>
              </to>
            </anchor>
          </objectPr>
        </oleObject>
      </mc:Choice>
      <mc:Fallback>
        <oleObject progId="Equation.3" shapeId="9217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zoomScale="90" zoomScaleNormal="90" workbookViewId="0">
      <selection activeCell="B22" sqref="B22"/>
    </sheetView>
  </sheetViews>
  <sheetFormatPr defaultRowHeight="14.4" x14ac:dyDescent="0.3"/>
  <cols>
    <col min="1" max="1" width="11.5546875" customWidth="1"/>
    <col min="2" max="2" width="17.6640625" customWidth="1"/>
    <col min="3" max="3" width="36.33203125" customWidth="1"/>
    <col min="4" max="4" width="14.5546875" customWidth="1"/>
    <col min="5" max="5" width="25.44140625" bestFit="1" customWidth="1"/>
    <col min="6" max="7" width="14.5546875" customWidth="1"/>
    <col min="8" max="9" width="11.5546875" customWidth="1"/>
    <col min="10" max="10" width="11.33203125" style="21" bestFit="1" customWidth="1"/>
    <col min="11" max="11" width="14.109375" style="21" bestFit="1" customWidth="1"/>
    <col min="12" max="12" width="14.109375" style="21" customWidth="1"/>
    <col min="13" max="13" width="14.109375" style="1" customWidth="1"/>
    <col min="14" max="15" width="14.109375" style="21" customWidth="1"/>
    <col min="16" max="16" width="12.109375" style="22" customWidth="1"/>
    <col min="17" max="17" width="19.6640625" style="23" customWidth="1"/>
    <col min="18" max="19" width="18" style="23" customWidth="1"/>
    <col min="20" max="20" width="18" style="24" customWidth="1"/>
    <col min="21" max="21" width="18" style="23" customWidth="1"/>
    <col min="22" max="22" width="6.88671875" style="25" customWidth="1"/>
    <col min="23" max="23" width="3.44140625" customWidth="1"/>
    <col min="24" max="24" width="15.109375" customWidth="1"/>
    <col min="25" max="25" width="32.109375" customWidth="1"/>
    <col min="26" max="27" width="9.6640625" customWidth="1"/>
  </cols>
  <sheetData>
    <row r="1" spans="1:28" ht="15" thickBot="1" x14ac:dyDescent="0.35"/>
    <row r="2" spans="1:28" ht="20.25" customHeight="1" x14ac:dyDescent="0.3">
      <c r="Q2" s="465" t="s">
        <v>40</v>
      </c>
      <c r="R2" s="466" t="s">
        <v>41</v>
      </c>
      <c r="S2" s="467"/>
      <c r="T2" s="468"/>
      <c r="U2" s="469"/>
    </row>
    <row r="3" spans="1:28" ht="24" customHeight="1" x14ac:dyDescent="0.3">
      <c r="E3" s="26" t="s">
        <v>263</v>
      </c>
      <c r="F3" s="26"/>
      <c r="G3" s="26"/>
      <c r="Q3" s="465"/>
      <c r="R3" s="470">
        <v>2000</v>
      </c>
      <c r="S3" s="471"/>
      <c r="T3" s="472" t="s">
        <v>42</v>
      </c>
      <c r="U3" s="473"/>
    </row>
    <row r="4" spans="1:28" ht="15" thickBot="1" x14ac:dyDescent="0.35">
      <c r="A4" s="26" t="s">
        <v>43</v>
      </c>
      <c r="B4" s="26" t="s">
        <v>218</v>
      </c>
      <c r="C4" s="26" t="s">
        <v>44</v>
      </c>
      <c r="D4" s="26" t="s">
        <v>51</v>
      </c>
      <c r="E4" s="26" t="s">
        <v>289</v>
      </c>
      <c r="F4" s="26" t="s">
        <v>290</v>
      </c>
      <c r="G4" s="26" t="s">
        <v>291</v>
      </c>
      <c r="H4" s="26" t="s">
        <v>43</v>
      </c>
      <c r="I4" s="26" t="s">
        <v>148</v>
      </c>
      <c r="J4" s="27" t="s">
        <v>45</v>
      </c>
      <c r="K4" s="27" t="s">
        <v>46</v>
      </c>
      <c r="L4" s="28" t="s">
        <v>47</v>
      </c>
      <c r="M4" s="29" t="s">
        <v>48</v>
      </c>
      <c r="N4" s="30" t="s">
        <v>49</v>
      </c>
      <c r="O4" s="28" t="s">
        <v>50</v>
      </c>
      <c r="P4" s="31"/>
      <c r="Q4" s="32" t="s">
        <v>51</v>
      </c>
      <c r="R4" s="54" t="s">
        <v>52</v>
      </c>
      <c r="S4" s="55" t="s">
        <v>53</v>
      </c>
      <c r="T4" s="56" t="s">
        <v>52</v>
      </c>
      <c r="U4" s="57" t="s">
        <v>54</v>
      </c>
      <c r="V4" s="33"/>
    </row>
    <row r="5" spans="1:28" x14ac:dyDescent="0.3">
      <c r="A5" s="34" t="s">
        <v>292</v>
      </c>
      <c r="B5" s="34" t="s">
        <v>210</v>
      </c>
      <c r="C5" s="35" t="s">
        <v>55</v>
      </c>
      <c r="D5" s="35" t="s">
        <v>207</v>
      </c>
      <c r="E5" s="35">
        <v>3500</v>
      </c>
      <c r="F5" s="35">
        <v>2100</v>
      </c>
      <c r="G5" s="35">
        <v>1500</v>
      </c>
      <c r="H5" s="34" t="s">
        <v>292</v>
      </c>
      <c r="I5" s="34" t="s">
        <v>151</v>
      </c>
      <c r="J5" s="36">
        <v>81349</v>
      </c>
      <c r="K5" s="36">
        <v>1447.7328335248872</v>
      </c>
      <c r="L5" s="37">
        <v>1265</v>
      </c>
      <c r="M5" s="38">
        <f>J5/1000000</f>
        <v>8.1349000000000005E-2</v>
      </c>
      <c r="N5" s="36">
        <f>K5/M5</f>
        <v>17796.565827789978</v>
      </c>
      <c r="O5" s="37">
        <f>L5/M5</f>
        <v>15550.283347060196</v>
      </c>
      <c r="P5" s="39"/>
      <c r="Q5" s="40" t="s">
        <v>207</v>
      </c>
      <c r="R5" s="41"/>
      <c r="S5" s="42">
        <f t="shared" ref="S5:S38" si="0">VLOOKUP(Q5,$X$13:$AA$17,3,0)</f>
        <v>3500</v>
      </c>
      <c r="T5" s="43"/>
      <c r="U5" s="42">
        <f t="shared" ref="U5:U38" si="1">VLOOKUP(Q5,$X$13:$AA$17,4,0)</f>
        <v>1750</v>
      </c>
      <c r="V5" s="44"/>
      <c r="Y5" s="45"/>
      <c r="Z5" s="46"/>
    </row>
    <row r="6" spans="1:28" x14ac:dyDescent="0.3">
      <c r="A6" s="34" t="s">
        <v>293</v>
      </c>
      <c r="B6" s="34" t="s">
        <v>210</v>
      </c>
      <c r="C6" s="35" t="s">
        <v>56</v>
      </c>
      <c r="D6" s="35" t="s">
        <v>207</v>
      </c>
      <c r="E6" s="35">
        <v>3500</v>
      </c>
      <c r="F6" s="35">
        <v>2100</v>
      </c>
      <c r="G6" s="35">
        <v>1500</v>
      </c>
      <c r="H6" s="34" t="s">
        <v>293</v>
      </c>
      <c r="I6" s="34" t="s">
        <v>151</v>
      </c>
      <c r="J6" s="36">
        <v>110272</v>
      </c>
      <c r="K6" s="36">
        <v>2122.6893572628414</v>
      </c>
      <c r="L6" s="37">
        <v>2291</v>
      </c>
      <c r="M6" s="38">
        <f t="shared" ref="M6:M60" si="2">J6/1000000</f>
        <v>0.110272</v>
      </c>
      <c r="N6" s="36">
        <f t="shared" ref="N6:N60" si="3">K6/M6</f>
        <v>19249.577021028381</v>
      </c>
      <c r="O6" s="37">
        <f t="shared" ref="O6:O60" si="4">L6/M6</f>
        <v>20775.899593731865</v>
      </c>
      <c r="P6" s="39"/>
      <c r="Q6" s="40" t="s">
        <v>207</v>
      </c>
      <c r="R6" s="41"/>
      <c r="S6" s="42">
        <f t="shared" si="0"/>
        <v>3500</v>
      </c>
      <c r="T6" s="43"/>
      <c r="U6" s="42">
        <f t="shared" si="1"/>
        <v>1750</v>
      </c>
      <c r="V6" s="44"/>
      <c r="Y6" s="47"/>
      <c r="Z6" s="48"/>
    </row>
    <row r="7" spans="1:28" x14ac:dyDescent="0.3">
      <c r="A7" s="34" t="s">
        <v>294</v>
      </c>
      <c r="B7" s="34" t="s">
        <v>210</v>
      </c>
      <c r="C7" s="35" t="s">
        <v>57</v>
      </c>
      <c r="D7" s="35" t="s">
        <v>207</v>
      </c>
      <c r="E7" s="35">
        <v>3500</v>
      </c>
      <c r="F7" s="35">
        <v>2100</v>
      </c>
      <c r="G7" s="35">
        <v>1500</v>
      </c>
      <c r="H7" s="34" t="s">
        <v>294</v>
      </c>
      <c r="I7" s="34" t="s">
        <v>151</v>
      </c>
      <c r="J7" s="36">
        <v>92647</v>
      </c>
      <c r="K7" s="36">
        <v>912.98466979046941</v>
      </c>
      <c r="L7" s="37">
        <v>1015</v>
      </c>
      <c r="M7" s="38">
        <f t="shared" si="2"/>
        <v>9.2646999999999993E-2</v>
      </c>
      <c r="N7" s="36">
        <f t="shared" si="3"/>
        <v>9854.4439624647257</v>
      </c>
      <c r="O7" s="37">
        <f t="shared" si="4"/>
        <v>10955.562511468263</v>
      </c>
      <c r="P7" s="39"/>
      <c r="Q7" s="40" t="s">
        <v>207</v>
      </c>
      <c r="R7" s="41"/>
      <c r="S7" s="42">
        <f t="shared" si="0"/>
        <v>3500</v>
      </c>
      <c r="T7" s="43"/>
      <c r="U7" s="42">
        <f t="shared" si="1"/>
        <v>1750</v>
      </c>
      <c r="V7" s="44"/>
      <c r="Y7" s="49"/>
      <c r="Z7" s="48"/>
    </row>
    <row r="8" spans="1:28" x14ac:dyDescent="0.3">
      <c r="A8" s="34" t="s">
        <v>295</v>
      </c>
      <c r="B8" s="34" t="s">
        <v>210</v>
      </c>
      <c r="C8" s="35" t="s">
        <v>58</v>
      </c>
      <c r="D8" s="35" t="s">
        <v>207</v>
      </c>
      <c r="E8" s="35">
        <v>3500</v>
      </c>
      <c r="F8" s="35">
        <v>2100</v>
      </c>
      <c r="G8" s="35">
        <v>1500</v>
      </c>
      <c r="H8" s="34" t="s">
        <v>295</v>
      </c>
      <c r="I8" s="34" t="s">
        <v>151</v>
      </c>
      <c r="J8" s="36">
        <v>417728</v>
      </c>
      <c r="K8" s="36">
        <v>4101.909694987181</v>
      </c>
      <c r="L8" s="37">
        <v>4613</v>
      </c>
      <c r="M8" s="38">
        <f t="shared" si="2"/>
        <v>0.41772799999999999</v>
      </c>
      <c r="N8" s="36">
        <f t="shared" si="3"/>
        <v>9819.5708570820752</v>
      </c>
      <c r="O8" s="37">
        <f t="shared" si="4"/>
        <v>11043.071089321282</v>
      </c>
      <c r="P8" s="39"/>
      <c r="Q8" s="40" t="s">
        <v>207</v>
      </c>
      <c r="R8" s="41"/>
      <c r="S8" s="42">
        <f t="shared" si="0"/>
        <v>3500</v>
      </c>
      <c r="T8" s="43"/>
      <c r="U8" s="42">
        <f t="shared" si="1"/>
        <v>1750</v>
      </c>
      <c r="V8" s="44"/>
      <c r="Y8" s="49"/>
      <c r="Z8" s="48"/>
    </row>
    <row r="9" spans="1:28" x14ac:dyDescent="0.3">
      <c r="A9" s="34" t="s">
        <v>296</v>
      </c>
      <c r="B9" s="34" t="s">
        <v>210</v>
      </c>
      <c r="C9" s="35" t="s">
        <v>59</v>
      </c>
      <c r="D9" s="35" t="s">
        <v>207</v>
      </c>
      <c r="E9" s="35">
        <v>3500</v>
      </c>
      <c r="F9" s="35">
        <v>2100</v>
      </c>
      <c r="G9" s="35">
        <v>1500</v>
      </c>
      <c r="H9" s="34" t="s">
        <v>296</v>
      </c>
      <c r="I9" s="34" t="s">
        <v>151</v>
      </c>
      <c r="J9" s="36">
        <v>481719</v>
      </c>
      <c r="K9" s="36">
        <v>1871.6185730704624</v>
      </c>
      <c r="L9" s="37">
        <v>2001</v>
      </c>
      <c r="M9" s="38">
        <f t="shared" si="2"/>
        <v>0.48171900000000001</v>
      </c>
      <c r="N9" s="36">
        <f t="shared" si="3"/>
        <v>3885.2911615910152</v>
      </c>
      <c r="O9" s="37">
        <f t="shared" si="4"/>
        <v>4153.8739389561133</v>
      </c>
      <c r="P9" s="39"/>
      <c r="Q9" s="40" t="s">
        <v>207</v>
      </c>
      <c r="R9" s="41"/>
      <c r="S9" s="42">
        <f t="shared" si="0"/>
        <v>3500</v>
      </c>
      <c r="T9" s="43"/>
      <c r="U9" s="42">
        <f t="shared" si="1"/>
        <v>1750</v>
      </c>
      <c r="V9" s="44"/>
      <c r="Y9" s="49"/>
      <c r="Z9" s="48"/>
    </row>
    <row r="10" spans="1:28" ht="15" customHeight="1" x14ac:dyDescent="0.3">
      <c r="A10" s="34" t="s">
        <v>297</v>
      </c>
      <c r="B10" s="34" t="s">
        <v>210</v>
      </c>
      <c r="C10" s="35" t="s">
        <v>60</v>
      </c>
      <c r="D10" s="35" t="s">
        <v>208</v>
      </c>
      <c r="E10" s="35">
        <v>3000</v>
      </c>
      <c r="F10" s="35">
        <v>1500</v>
      </c>
      <c r="G10" s="35">
        <v>1200</v>
      </c>
      <c r="H10" s="34" t="s">
        <v>297</v>
      </c>
      <c r="I10" s="34" t="s">
        <v>151</v>
      </c>
      <c r="J10" s="36">
        <v>927402</v>
      </c>
      <c r="K10" s="36">
        <v>818.42554327645655</v>
      </c>
      <c r="L10" s="37">
        <v>760</v>
      </c>
      <c r="M10" s="38">
        <f t="shared" si="2"/>
        <v>0.92740199999999995</v>
      </c>
      <c r="N10" s="36">
        <f t="shared" si="3"/>
        <v>882.49275209289669</v>
      </c>
      <c r="O10" s="37">
        <f t="shared" si="4"/>
        <v>819.49359608885902</v>
      </c>
      <c r="P10" s="39"/>
      <c r="Q10" s="40" t="s">
        <v>208</v>
      </c>
      <c r="S10" s="42">
        <f t="shared" si="0"/>
        <v>1500</v>
      </c>
      <c r="T10" s="50"/>
      <c r="U10" s="42">
        <f t="shared" si="1"/>
        <v>1000</v>
      </c>
      <c r="V10" s="44"/>
      <c r="Y10" s="45"/>
      <c r="Z10" s="46"/>
    </row>
    <row r="11" spans="1:28" ht="15" customHeight="1" x14ac:dyDescent="0.3">
      <c r="A11" s="34" t="s">
        <v>298</v>
      </c>
      <c r="B11" s="34" t="s">
        <v>210</v>
      </c>
      <c r="C11" s="35" t="s">
        <v>61</v>
      </c>
      <c r="D11" s="35" t="s">
        <v>207</v>
      </c>
      <c r="E11" s="35">
        <v>3500</v>
      </c>
      <c r="F11" s="35">
        <v>2100</v>
      </c>
      <c r="G11" s="35">
        <v>1500</v>
      </c>
      <c r="H11" s="34" t="s">
        <v>298</v>
      </c>
      <c r="I11" s="34" t="s">
        <v>151</v>
      </c>
      <c r="J11" s="36">
        <v>1822544</v>
      </c>
      <c r="K11" s="36">
        <v>32.606595349659628</v>
      </c>
      <c r="L11" s="37">
        <v>16</v>
      </c>
      <c r="M11" s="38">
        <f t="shared" si="2"/>
        <v>1.8225439999999999</v>
      </c>
      <c r="N11" s="36">
        <f t="shared" si="3"/>
        <v>17.89070406511976</v>
      </c>
      <c r="O11" s="37">
        <f t="shared" si="4"/>
        <v>8.7789375729749182</v>
      </c>
      <c r="P11" s="39"/>
      <c r="Q11" s="40" t="s">
        <v>207</v>
      </c>
      <c r="R11" s="41"/>
      <c r="S11" s="42">
        <f t="shared" si="0"/>
        <v>3500</v>
      </c>
      <c r="T11" s="43"/>
      <c r="U11" s="42">
        <f t="shared" si="1"/>
        <v>1750</v>
      </c>
      <c r="V11" s="44"/>
      <c r="Y11" s="45"/>
      <c r="Z11" s="46"/>
    </row>
    <row r="12" spans="1:28" ht="14.4" customHeight="1" x14ac:dyDescent="0.3">
      <c r="A12" s="34" t="s">
        <v>299</v>
      </c>
      <c r="B12" s="34" t="s">
        <v>210</v>
      </c>
      <c r="C12" s="35" t="s">
        <v>62</v>
      </c>
      <c r="D12" s="35" t="s">
        <v>208</v>
      </c>
      <c r="E12" s="35">
        <v>3000</v>
      </c>
      <c r="F12" s="35">
        <v>1500</v>
      </c>
      <c r="G12" s="35">
        <v>1200</v>
      </c>
      <c r="H12" s="34" t="s">
        <v>299</v>
      </c>
      <c r="I12" s="34" t="s">
        <v>151</v>
      </c>
      <c r="J12" s="36">
        <v>1197631</v>
      </c>
      <c r="K12" s="36">
        <v>264.11342233224298</v>
      </c>
      <c r="L12" s="37">
        <v>248</v>
      </c>
      <c r="M12" s="38">
        <f t="shared" si="2"/>
        <v>1.1976309999999999</v>
      </c>
      <c r="N12" s="36">
        <f t="shared" si="3"/>
        <v>220.52988135096953</v>
      </c>
      <c r="O12" s="37">
        <f t="shared" si="4"/>
        <v>207.07546815337949</v>
      </c>
      <c r="P12" s="39"/>
      <c r="Q12" s="40" t="s">
        <v>208</v>
      </c>
      <c r="S12" s="42">
        <f t="shared" si="0"/>
        <v>1500</v>
      </c>
      <c r="T12" s="50"/>
      <c r="U12" s="42">
        <f t="shared" si="1"/>
        <v>1000</v>
      </c>
      <c r="V12" s="44"/>
      <c r="X12" s="51" t="s">
        <v>227</v>
      </c>
      <c r="Y12" s="45"/>
      <c r="Z12" s="126" t="s">
        <v>179</v>
      </c>
      <c r="AA12" s="126" t="s">
        <v>180</v>
      </c>
    </row>
    <row r="13" spans="1:28" x14ac:dyDescent="0.3">
      <c r="A13" s="34" t="s">
        <v>300</v>
      </c>
      <c r="B13" s="34" t="s">
        <v>210</v>
      </c>
      <c r="C13" s="35" t="s">
        <v>63</v>
      </c>
      <c r="D13" s="35" t="s">
        <v>207</v>
      </c>
      <c r="E13" s="35">
        <v>3500</v>
      </c>
      <c r="F13" s="35">
        <v>2100</v>
      </c>
      <c r="G13" s="35">
        <v>1500</v>
      </c>
      <c r="H13" s="34" t="s">
        <v>300</v>
      </c>
      <c r="I13" s="34" t="s">
        <v>151</v>
      </c>
      <c r="J13" s="36">
        <v>614639</v>
      </c>
      <c r="K13" s="36">
        <v>8683.1363416143577</v>
      </c>
      <c r="L13" s="37">
        <v>8682</v>
      </c>
      <c r="M13" s="38">
        <f t="shared" si="2"/>
        <v>0.61463900000000005</v>
      </c>
      <c r="N13" s="36">
        <f t="shared" si="3"/>
        <v>14127.2134401077</v>
      </c>
      <c r="O13" s="37">
        <f t="shared" si="4"/>
        <v>14125.364644937921</v>
      </c>
      <c r="P13" s="39"/>
      <c r="Q13" s="40" t="s">
        <v>207</v>
      </c>
      <c r="R13" s="41"/>
      <c r="S13" s="42">
        <f t="shared" si="0"/>
        <v>3500</v>
      </c>
      <c r="T13" s="43"/>
      <c r="U13" s="42">
        <f t="shared" si="1"/>
        <v>1750</v>
      </c>
      <c r="V13" s="44"/>
      <c r="X13" s="116" t="s">
        <v>205</v>
      </c>
      <c r="Y13" s="127" t="s">
        <v>64</v>
      </c>
      <c r="Z13" s="126">
        <v>8000</v>
      </c>
      <c r="AA13" s="126">
        <v>4000</v>
      </c>
      <c r="AB13" s="128">
        <f>AA13/Z13</f>
        <v>0.5</v>
      </c>
    </row>
    <row r="14" spans="1:28" x14ac:dyDescent="0.3">
      <c r="A14" s="34" t="s">
        <v>301</v>
      </c>
      <c r="B14" s="34" t="s">
        <v>210</v>
      </c>
      <c r="C14" s="35" t="s">
        <v>65</v>
      </c>
      <c r="D14" s="35" t="s">
        <v>207</v>
      </c>
      <c r="E14" s="35">
        <v>3500</v>
      </c>
      <c r="F14" s="35">
        <v>2100</v>
      </c>
      <c r="G14" s="35">
        <v>1500</v>
      </c>
      <c r="H14" s="34" t="s">
        <v>301</v>
      </c>
      <c r="I14" s="34" t="s">
        <v>151</v>
      </c>
      <c r="J14" s="36">
        <v>231171</v>
      </c>
      <c r="K14" s="36">
        <v>4454.0609247635039</v>
      </c>
      <c r="L14" s="37">
        <v>4868</v>
      </c>
      <c r="M14" s="38">
        <f t="shared" si="2"/>
        <v>0.23117099999999999</v>
      </c>
      <c r="N14" s="36">
        <f t="shared" si="3"/>
        <v>19267.386154679887</v>
      </c>
      <c r="O14" s="37">
        <f t="shared" si="4"/>
        <v>21058.004680517886</v>
      </c>
      <c r="P14" s="39"/>
      <c r="Q14" s="40" t="s">
        <v>207</v>
      </c>
      <c r="R14" s="41"/>
      <c r="S14" s="42">
        <f t="shared" si="0"/>
        <v>3500</v>
      </c>
      <c r="T14" s="43"/>
      <c r="U14" s="42">
        <f t="shared" si="1"/>
        <v>1750</v>
      </c>
      <c r="V14" s="44"/>
      <c r="X14" s="116" t="s">
        <v>206</v>
      </c>
      <c r="Y14" s="127" t="s">
        <v>66</v>
      </c>
      <c r="Z14" s="126">
        <v>6000</v>
      </c>
      <c r="AA14" s="126">
        <v>3000</v>
      </c>
      <c r="AB14" s="128">
        <f>AA14/Z14</f>
        <v>0.5</v>
      </c>
    </row>
    <row r="15" spans="1:28" x14ac:dyDescent="0.3">
      <c r="A15" s="34" t="s">
        <v>302</v>
      </c>
      <c r="B15" s="34" t="s">
        <v>210</v>
      </c>
      <c r="C15" s="35" t="s">
        <v>67</v>
      </c>
      <c r="D15" s="35" t="s">
        <v>208</v>
      </c>
      <c r="E15" s="35">
        <v>3000</v>
      </c>
      <c r="F15" s="35">
        <v>1500</v>
      </c>
      <c r="G15" s="35">
        <v>1200</v>
      </c>
      <c r="H15" s="34" t="s">
        <v>302</v>
      </c>
      <c r="I15" s="34" t="s">
        <v>151</v>
      </c>
      <c r="J15" s="36">
        <v>616972</v>
      </c>
      <c r="K15" s="36">
        <v>5601.8130810715229</v>
      </c>
      <c r="L15" s="37">
        <v>6151</v>
      </c>
      <c r="M15" s="38">
        <f t="shared" si="2"/>
        <v>0.61697199999999996</v>
      </c>
      <c r="N15" s="36">
        <f t="shared" si="3"/>
        <v>9079.525620403394</v>
      </c>
      <c r="O15" s="37">
        <f t="shared" si="4"/>
        <v>9969.6582665015594</v>
      </c>
      <c r="P15" s="39"/>
      <c r="Q15" s="40" t="s">
        <v>208</v>
      </c>
      <c r="S15" s="42">
        <f t="shared" si="0"/>
        <v>1500</v>
      </c>
      <c r="T15" s="50"/>
      <c r="U15" s="42">
        <f t="shared" si="1"/>
        <v>1000</v>
      </c>
      <c r="V15" s="44"/>
      <c r="X15" s="116" t="s">
        <v>207</v>
      </c>
      <c r="Y15" s="127" t="s">
        <v>68</v>
      </c>
      <c r="Z15" s="129">
        <v>3500</v>
      </c>
      <c r="AA15" s="129">
        <v>1750</v>
      </c>
      <c r="AB15" s="128">
        <f>AA15/Z15</f>
        <v>0.5</v>
      </c>
    </row>
    <row r="16" spans="1:28" x14ac:dyDescent="0.3">
      <c r="A16" s="34" t="s">
        <v>303</v>
      </c>
      <c r="B16" s="34" t="s">
        <v>210</v>
      </c>
      <c r="C16" s="35" t="s">
        <v>69</v>
      </c>
      <c r="D16" s="35" t="s">
        <v>207</v>
      </c>
      <c r="E16" s="35">
        <v>3500</v>
      </c>
      <c r="F16" s="35">
        <v>2100</v>
      </c>
      <c r="G16" s="35">
        <v>1500</v>
      </c>
      <c r="H16" s="34" t="s">
        <v>303</v>
      </c>
      <c r="I16" s="34" t="s">
        <v>151</v>
      </c>
      <c r="J16" s="36">
        <v>282678</v>
      </c>
      <c r="K16" s="36">
        <v>4698.6103898859519</v>
      </c>
      <c r="L16" s="37">
        <v>4582</v>
      </c>
      <c r="M16" s="38">
        <f t="shared" si="2"/>
        <v>0.28267799999999998</v>
      </c>
      <c r="N16" s="36">
        <f t="shared" si="3"/>
        <v>16621.775977918169</v>
      </c>
      <c r="O16" s="37">
        <f t="shared" si="4"/>
        <v>16209.255760971848</v>
      </c>
      <c r="P16" s="39"/>
      <c r="Q16" s="40" t="s">
        <v>207</v>
      </c>
      <c r="R16" s="41"/>
      <c r="S16" s="42">
        <f t="shared" si="0"/>
        <v>3500</v>
      </c>
      <c r="T16" s="43"/>
      <c r="U16" s="42">
        <f t="shared" si="1"/>
        <v>1750</v>
      </c>
      <c r="V16" s="44"/>
      <c r="X16" s="116" t="s">
        <v>208</v>
      </c>
      <c r="Y16" s="127" t="s">
        <v>70</v>
      </c>
      <c r="Z16" s="126">
        <v>1500</v>
      </c>
      <c r="AA16" s="126">
        <v>1000</v>
      </c>
      <c r="AB16" s="128">
        <f>AA16/Z16</f>
        <v>0.66666666666666663</v>
      </c>
    </row>
    <row r="17" spans="1:28" x14ac:dyDescent="0.3">
      <c r="A17" s="34" t="s">
        <v>304</v>
      </c>
      <c r="B17" s="34" t="s">
        <v>210</v>
      </c>
      <c r="C17" s="35" t="s">
        <v>71</v>
      </c>
      <c r="D17" s="35" t="s">
        <v>208</v>
      </c>
      <c r="E17" s="35">
        <v>3000</v>
      </c>
      <c r="F17" s="35">
        <v>1500</v>
      </c>
      <c r="G17" s="35">
        <v>1200</v>
      </c>
      <c r="H17" s="34" t="s">
        <v>304</v>
      </c>
      <c r="I17" s="34" t="s">
        <v>151</v>
      </c>
      <c r="J17" s="36">
        <v>496516</v>
      </c>
      <c r="K17" s="36">
        <v>2820.4704977455576</v>
      </c>
      <c r="L17" s="37">
        <v>2627</v>
      </c>
      <c r="M17" s="38">
        <f t="shared" si="2"/>
        <v>0.49651600000000001</v>
      </c>
      <c r="N17" s="36">
        <f t="shared" si="3"/>
        <v>5680.5228789113698</v>
      </c>
      <c r="O17" s="37">
        <f t="shared" si="4"/>
        <v>5290.8667595807583</v>
      </c>
      <c r="P17" s="39"/>
      <c r="Q17" s="40" t="s">
        <v>208</v>
      </c>
      <c r="S17" s="42">
        <f t="shared" si="0"/>
        <v>1500</v>
      </c>
      <c r="T17" s="50"/>
      <c r="U17" s="42">
        <f t="shared" si="1"/>
        <v>1000</v>
      </c>
      <c r="V17" s="44"/>
      <c r="X17" s="116" t="s">
        <v>209</v>
      </c>
      <c r="Y17" s="127" t="s">
        <v>72</v>
      </c>
      <c r="Z17" s="126">
        <v>1000</v>
      </c>
      <c r="AA17" s="126">
        <v>800</v>
      </c>
      <c r="AB17" s="128">
        <f>AA17/Z17</f>
        <v>0.8</v>
      </c>
    </row>
    <row r="18" spans="1:28" x14ac:dyDescent="0.3">
      <c r="A18" s="34" t="s">
        <v>305</v>
      </c>
      <c r="B18" s="34" t="s">
        <v>210</v>
      </c>
      <c r="C18" s="35" t="s">
        <v>73</v>
      </c>
      <c r="D18" s="35" t="s">
        <v>208</v>
      </c>
      <c r="E18" s="35">
        <v>3000</v>
      </c>
      <c r="F18" s="35">
        <v>1500</v>
      </c>
      <c r="G18" s="35">
        <v>1200</v>
      </c>
      <c r="H18" s="34" t="s">
        <v>305</v>
      </c>
      <c r="I18" s="34" t="s">
        <v>151</v>
      </c>
      <c r="J18" s="36">
        <v>888533</v>
      </c>
      <c r="K18" s="36">
        <v>1340.1310688710105</v>
      </c>
      <c r="L18" s="37">
        <v>1104</v>
      </c>
      <c r="M18" s="38">
        <f t="shared" si="2"/>
        <v>0.88853300000000002</v>
      </c>
      <c r="N18" s="36">
        <f t="shared" si="3"/>
        <v>1508.2513186015719</v>
      </c>
      <c r="O18" s="37">
        <f t="shared" si="4"/>
        <v>1242.4974649225182</v>
      </c>
      <c r="P18" s="39"/>
      <c r="Q18" s="40" t="s">
        <v>208</v>
      </c>
      <c r="S18" s="42">
        <f t="shared" si="0"/>
        <v>1500</v>
      </c>
      <c r="T18" s="50"/>
      <c r="U18" s="42">
        <f t="shared" si="1"/>
        <v>1000</v>
      </c>
      <c r="V18" s="44"/>
    </row>
    <row r="19" spans="1:28" x14ac:dyDescent="0.3">
      <c r="A19" s="34" t="s">
        <v>306</v>
      </c>
      <c r="B19" s="34" t="s">
        <v>210</v>
      </c>
      <c r="C19" s="35" t="s">
        <v>74</v>
      </c>
      <c r="D19" s="35" t="s">
        <v>208</v>
      </c>
      <c r="E19" s="35">
        <v>3000</v>
      </c>
      <c r="F19" s="35">
        <v>1500</v>
      </c>
      <c r="G19" s="35">
        <v>1200</v>
      </c>
      <c r="H19" s="34" t="s">
        <v>306</v>
      </c>
      <c r="I19" s="34" t="s">
        <v>151</v>
      </c>
      <c r="J19" s="36">
        <v>1284710</v>
      </c>
      <c r="K19" s="36">
        <v>192.37891256299179</v>
      </c>
      <c r="L19" s="37">
        <v>111</v>
      </c>
      <c r="M19" s="38">
        <f t="shared" si="2"/>
        <v>1.28471</v>
      </c>
      <c r="N19" s="36">
        <f t="shared" si="3"/>
        <v>149.74501059615929</v>
      </c>
      <c r="O19" s="37">
        <f t="shared" si="4"/>
        <v>86.400821975387444</v>
      </c>
      <c r="P19" s="39"/>
      <c r="Q19" s="40" t="s">
        <v>208</v>
      </c>
      <c r="S19" s="42">
        <f t="shared" si="0"/>
        <v>1500</v>
      </c>
      <c r="T19" s="50"/>
      <c r="U19" s="42">
        <f t="shared" si="1"/>
        <v>1000</v>
      </c>
    </row>
    <row r="20" spans="1:28" x14ac:dyDescent="0.3">
      <c r="A20" s="34" t="s">
        <v>307</v>
      </c>
      <c r="B20" s="34" t="s">
        <v>210</v>
      </c>
      <c r="C20" s="35" t="s">
        <v>75</v>
      </c>
      <c r="D20" s="35" t="s">
        <v>207</v>
      </c>
      <c r="E20" s="35">
        <v>3500</v>
      </c>
      <c r="F20" s="35">
        <v>2100</v>
      </c>
      <c r="G20" s="35">
        <v>1500</v>
      </c>
      <c r="H20" s="34" t="s">
        <v>307</v>
      </c>
      <c r="I20" s="34" t="s">
        <v>151</v>
      </c>
      <c r="J20" s="36">
        <v>259095</v>
      </c>
      <c r="K20" s="36">
        <v>1695.5429581823005</v>
      </c>
      <c r="L20" s="37">
        <v>1607</v>
      </c>
      <c r="M20" s="38">
        <f t="shared" si="2"/>
        <v>0.25909500000000002</v>
      </c>
      <c r="N20" s="36">
        <f t="shared" si="3"/>
        <v>6544.0975633736671</v>
      </c>
      <c r="O20" s="37">
        <f t="shared" si="4"/>
        <v>6202.3582083791653</v>
      </c>
      <c r="P20" s="39"/>
      <c r="Q20" s="40" t="s">
        <v>207</v>
      </c>
      <c r="R20" s="41"/>
      <c r="S20" s="42">
        <f t="shared" si="0"/>
        <v>3500</v>
      </c>
      <c r="T20" s="43"/>
      <c r="U20" s="42">
        <f t="shared" si="1"/>
        <v>1750</v>
      </c>
    </row>
    <row r="21" spans="1:28" x14ac:dyDescent="0.3">
      <c r="A21" s="34" t="s">
        <v>308</v>
      </c>
      <c r="B21" s="34" t="s">
        <v>210</v>
      </c>
      <c r="C21" s="169" t="s">
        <v>257</v>
      </c>
      <c r="D21" s="35" t="s">
        <v>207</v>
      </c>
      <c r="E21" s="35">
        <v>3500</v>
      </c>
      <c r="F21" s="35">
        <v>2100</v>
      </c>
      <c r="G21" s="35">
        <v>1500</v>
      </c>
      <c r="H21" s="34" t="s">
        <v>308</v>
      </c>
      <c r="I21" s="34" t="s">
        <v>151</v>
      </c>
      <c r="J21" s="36">
        <v>3080466</v>
      </c>
      <c r="K21" s="36">
        <v>6589.79292016621</v>
      </c>
      <c r="L21" s="37">
        <v>5734</v>
      </c>
      <c r="M21" s="38">
        <f t="shared" si="2"/>
        <v>3.0804659999999999</v>
      </c>
      <c r="N21" s="36">
        <f t="shared" si="3"/>
        <v>2139.219494766769</v>
      </c>
      <c r="O21" s="37">
        <f t="shared" si="4"/>
        <v>1861.4066832745436</v>
      </c>
      <c r="P21" s="39"/>
      <c r="Q21" s="40" t="s">
        <v>206</v>
      </c>
      <c r="S21" s="42">
        <f t="shared" si="0"/>
        <v>6000</v>
      </c>
      <c r="T21" s="50"/>
      <c r="U21" s="42">
        <f t="shared" si="1"/>
        <v>3000</v>
      </c>
    </row>
    <row r="22" spans="1:28" x14ac:dyDescent="0.3">
      <c r="A22" s="34" t="s">
        <v>309</v>
      </c>
      <c r="B22" s="34" t="s">
        <v>211</v>
      </c>
      <c r="C22" s="35" t="s">
        <v>76</v>
      </c>
      <c r="D22" s="35" t="s">
        <v>205</v>
      </c>
      <c r="E22" s="35">
        <v>8000</v>
      </c>
      <c r="F22" s="35">
        <v>6000</v>
      </c>
      <c r="G22" s="35">
        <v>4500</v>
      </c>
      <c r="H22" s="34" t="s">
        <v>309</v>
      </c>
      <c r="I22" s="34" t="s">
        <v>150</v>
      </c>
      <c r="J22" s="36">
        <v>296977</v>
      </c>
      <c r="K22" s="36">
        <v>2259.6370577314119</v>
      </c>
      <c r="L22" s="37">
        <v>1019</v>
      </c>
      <c r="M22" s="38">
        <f t="shared" si="2"/>
        <v>0.29697699999999999</v>
      </c>
      <c r="N22" s="36">
        <f t="shared" si="3"/>
        <v>7608.7948148557361</v>
      </c>
      <c r="O22" s="37">
        <f t="shared" si="4"/>
        <v>3431.2421500654932</v>
      </c>
      <c r="P22" s="39"/>
      <c r="Q22" s="52" t="s">
        <v>205</v>
      </c>
      <c r="S22" s="42">
        <f t="shared" si="0"/>
        <v>8000</v>
      </c>
      <c r="T22" s="50"/>
      <c r="U22" s="42">
        <f t="shared" si="1"/>
        <v>4000</v>
      </c>
    </row>
    <row r="23" spans="1:28" x14ac:dyDescent="0.3">
      <c r="A23" s="34" t="s">
        <v>310</v>
      </c>
      <c r="B23" s="34" t="s">
        <v>211</v>
      </c>
      <c r="C23" s="35" t="s">
        <v>77</v>
      </c>
      <c r="D23" s="35" t="s">
        <v>206</v>
      </c>
      <c r="E23" s="35">
        <v>6000</v>
      </c>
      <c r="F23" s="35">
        <v>4500</v>
      </c>
      <c r="G23" s="35">
        <v>3500</v>
      </c>
      <c r="H23" s="34" t="s">
        <v>310</v>
      </c>
      <c r="I23" s="34" t="s">
        <v>151</v>
      </c>
      <c r="J23" s="36">
        <v>156169</v>
      </c>
      <c r="K23" s="36">
        <v>45.649233489523475</v>
      </c>
      <c r="L23" s="37">
        <v>31</v>
      </c>
      <c r="M23" s="38">
        <f t="shared" si="2"/>
        <v>0.156169</v>
      </c>
      <c r="N23" s="36">
        <f t="shared" si="3"/>
        <v>292.3066260879142</v>
      </c>
      <c r="O23" s="37">
        <f t="shared" si="4"/>
        <v>198.50290390538456</v>
      </c>
      <c r="P23" s="39"/>
      <c r="Q23" s="40" t="s">
        <v>206</v>
      </c>
      <c r="S23" s="42">
        <f t="shared" si="0"/>
        <v>6000</v>
      </c>
      <c r="T23" s="50"/>
      <c r="U23" s="42">
        <f t="shared" si="1"/>
        <v>3000</v>
      </c>
    </row>
    <row r="24" spans="1:28" x14ac:dyDescent="0.3">
      <c r="A24" s="34" t="s">
        <v>311</v>
      </c>
      <c r="B24" s="34" t="s">
        <v>211</v>
      </c>
      <c r="C24" s="35" t="s">
        <v>78</v>
      </c>
      <c r="D24" s="35" t="s">
        <v>206</v>
      </c>
      <c r="E24" s="35">
        <v>6000</v>
      </c>
      <c r="F24" s="35">
        <v>4500</v>
      </c>
      <c r="G24" s="35">
        <v>3500</v>
      </c>
      <c r="H24" s="34" t="s">
        <v>311</v>
      </c>
      <c r="I24" s="34" t="s">
        <v>151</v>
      </c>
      <c r="J24" s="36">
        <v>259483</v>
      </c>
      <c r="K24" s="36">
        <v>2836.7737954203872</v>
      </c>
      <c r="L24" s="37">
        <v>1848</v>
      </c>
      <c r="M24" s="38">
        <f t="shared" si="2"/>
        <v>0.25948300000000002</v>
      </c>
      <c r="N24" s="36">
        <f t="shared" si="3"/>
        <v>10932.407114995538</v>
      </c>
      <c r="O24" s="37">
        <f t="shared" si="4"/>
        <v>7121.8538401359619</v>
      </c>
      <c r="P24" s="39"/>
      <c r="Q24" s="40" t="s">
        <v>206</v>
      </c>
      <c r="S24" s="42">
        <f t="shared" si="0"/>
        <v>6000</v>
      </c>
      <c r="T24" s="50"/>
      <c r="U24" s="42">
        <f t="shared" si="1"/>
        <v>3000</v>
      </c>
    </row>
    <row r="25" spans="1:28" x14ac:dyDescent="0.3">
      <c r="A25" s="34" t="s">
        <v>312</v>
      </c>
      <c r="B25" s="34" t="s">
        <v>211</v>
      </c>
      <c r="C25" s="35" t="s">
        <v>79</v>
      </c>
      <c r="D25" s="35" t="s">
        <v>206</v>
      </c>
      <c r="E25" s="35">
        <v>6000</v>
      </c>
      <c r="F25" s="35">
        <v>4500</v>
      </c>
      <c r="G25" s="35">
        <v>3500</v>
      </c>
      <c r="H25" s="34" t="s">
        <v>312</v>
      </c>
      <c r="I25" s="34" t="s">
        <v>151</v>
      </c>
      <c r="J25" s="36">
        <v>254925</v>
      </c>
      <c r="K25" s="36">
        <v>378.23650605605161</v>
      </c>
      <c r="L25" s="37">
        <v>117</v>
      </c>
      <c r="M25" s="38">
        <f t="shared" si="2"/>
        <v>0.25492500000000001</v>
      </c>
      <c r="N25" s="36">
        <f t="shared" si="3"/>
        <v>1483.7168032011439</v>
      </c>
      <c r="O25" s="37">
        <f t="shared" si="4"/>
        <v>458.95851721094436</v>
      </c>
      <c r="P25" s="39"/>
      <c r="Q25" s="40" t="s">
        <v>206</v>
      </c>
      <c r="S25" s="42">
        <f t="shared" si="0"/>
        <v>6000</v>
      </c>
      <c r="T25" s="50"/>
      <c r="U25" s="42">
        <f t="shared" si="1"/>
        <v>3000</v>
      </c>
    </row>
    <row r="26" spans="1:28" x14ac:dyDescent="0.3">
      <c r="A26" s="34" t="s">
        <v>313</v>
      </c>
      <c r="B26" s="34" t="s">
        <v>211</v>
      </c>
      <c r="C26" s="35" t="s">
        <v>80</v>
      </c>
      <c r="D26" s="35" t="s">
        <v>205</v>
      </c>
      <c r="E26" s="35">
        <v>8000</v>
      </c>
      <c r="F26" s="35">
        <v>6000</v>
      </c>
      <c r="G26" s="35">
        <v>4500</v>
      </c>
      <c r="H26" s="34" t="s">
        <v>313</v>
      </c>
      <c r="I26" s="34" t="s">
        <v>151</v>
      </c>
      <c r="J26" s="36">
        <v>114016</v>
      </c>
      <c r="K26" s="36">
        <v>16.303297674829814</v>
      </c>
      <c r="L26" s="37">
        <v>0</v>
      </c>
      <c r="M26" s="38">
        <f t="shared" si="2"/>
        <v>0.11401600000000001</v>
      </c>
      <c r="N26" s="36">
        <f t="shared" si="3"/>
        <v>142.99131415616944</v>
      </c>
      <c r="O26" s="37">
        <f t="shared" si="4"/>
        <v>0</v>
      </c>
      <c r="P26" s="39"/>
      <c r="Q26" s="40" t="s">
        <v>206</v>
      </c>
      <c r="S26" s="42">
        <f t="shared" si="0"/>
        <v>6000</v>
      </c>
      <c r="T26" s="50"/>
      <c r="U26" s="42">
        <f t="shared" si="1"/>
        <v>3000</v>
      </c>
    </row>
    <row r="27" spans="1:28" x14ac:dyDescent="0.3">
      <c r="A27" s="34" t="s">
        <v>314</v>
      </c>
      <c r="B27" s="34" t="s">
        <v>211</v>
      </c>
      <c r="C27" s="35" t="s">
        <v>81</v>
      </c>
      <c r="D27" s="35" t="s">
        <v>205</v>
      </c>
      <c r="E27" s="35">
        <v>8000</v>
      </c>
      <c r="F27" s="35">
        <v>6000</v>
      </c>
      <c r="G27" s="35">
        <v>4500</v>
      </c>
      <c r="H27" s="34" t="s">
        <v>314</v>
      </c>
      <c r="I27" s="34" t="s">
        <v>151</v>
      </c>
      <c r="J27" s="36">
        <v>60212</v>
      </c>
      <c r="K27" s="36">
        <v>0</v>
      </c>
      <c r="L27" s="37">
        <v>0</v>
      </c>
      <c r="M27" s="38">
        <f t="shared" si="2"/>
        <v>6.0212000000000002E-2</v>
      </c>
      <c r="N27" s="36">
        <f t="shared" si="3"/>
        <v>0</v>
      </c>
      <c r="O27" s="37">
        <f t="shared" si="4"/>
        <v>0</v>
      </c>
      <c r="P27" s="39"/>
      <c r="Q27" s="40" t="s">
        <v>206</v>
      </c>
      <c r="S27" s="42">
        <f t="shared" si="0"/>
        <v>6000</v>
      </c>
      <c r="T27" s="50"/>
      <c r="U27" s="42">
        <f t="shared" si="1"/>
        <v>3000</v>
      </c>
    </row>
    <row r="28" spans="1:28" x14ac:dyDescent="0.3">
      <c r="A28" s="34" t="s">
        <v>315</v>
      </c>
      <c r="B28" s="34" t="s">
        <v>212</v>
      </c>
      <c r="C28" s="35" t="s">
        <v>82</v>
      </c>
      <c r="D28" s="35" t="s">
        <v>206</v>
      </c>
      <c r="E28" s="35">
        <v>6000</v>
      </c>
      <c r="F28" s="35">
        <v>4500</v>
      </c>
      <c r="G28" s="35">
        <v>3500</v>
      </c>
      <c r="H28" s="34" t="s">
        <v>315</v>
      </c>
      <c r="I28" s="34" t="s">
        <v>151</v>
      </c>
      <c r="J28" s="36">
        <v>887145</v>
      </c>
      <c r="K28" s="36">
        <v>11397.868308726018</v>
      </c>
      <c r="L28" s="37">
        <v>12965</v>
      </c>
      <c r="M28" s="38">
        <f t="shared" si="2"/>
        <v>0.88714499999999996</v>
      </c>
      <c r="N28" s="36">
        <f t="shared" si="3"/>
        <v>12847.807639930359</v>
      </c>
      <c r="O28" s="37">
        <f t="shared" si="4"/>
        <v>14614.29642279447</v>
      </c>
      <c r="P28" s="39"/>
      <c r="Q28" s="40" t="s">
        <v>206</v>
      </c>
      <c r="S28" s="42">
        <f t="shared" si="0"/>
        <v>6000</v>
      </c>
      <c r="T28" s="50"/>
      <c r="U28" s="42">
        <f t="shared" si="1"/>
        <v>3000</v>
      </c>
    </row>
    <row r="29" spans="1:28" x14ac:dyDescent="0.3">
      <c r="A29" s="34" t="s">
        <v>316</v>
      </c>
      <c r="B29" s="34" t="s">
        <v>212</v>
      </c>
      <c r="C29" s="35" t="s">
        <v>83</v>
      </c>
      <c r="D29" s="35" t="s">
        <v>206</v>
      </c>
      <c r="E29" s="35">
        <v>6000</v>
      </c>
      <c r="F29" s="35">
        <v>4500</v>
      </c>
      <c r="G29" s="35">
        <v>3500</v>
      </c>
      <c r="H29" s="34" t="s">
        <v>316</v>
      </c>
      <c r="I29" s="34" t="s">
        <v>151</v>
      </c>
      <c r="J29" s="36">
        <v>75280</v>
      </c>
      <c r="K29" s="36">
        <v>221.72484837768542</v>
      </c>
      <c r="L29" s="37">
        <v>130</v>
      </c>
      <c r="M29" s="38">
        <f t="shared" si="2"/>
        <v>7.528E-2</v>
      </c>
      <c r="N29" s="36">
        <f t="shared" si="3"/>
        <v>2945.3353929023037</v>
      </c>
      <c r="O29" s="37">
        <f t="shared" si="4"/>
        <v>1726.8862911795961</v>
      </c>
      <c r="P29" s="39"/>
      <c r="Q29" s="40" t="s">
        <v>207</v>
      </c>
      <c r="R29" s="41"/>
      <c r="S29" s="42">
        <f t="shared" si="0"/>
        <v>3500</v>
      </c>
      <c r="T29" s="43"/>
      <c r="U29" s="42">
        <f t="shared" si="1"/>
        <v>1750</v>
      </c>
    </row>
    <row r="30" spans="1:28" x14ac:dyDescent="0.3">
      <c r="A30" s="34" t="s">
        <v>317</v>
      </c>
      <c r="B30" s="34" t="s">
        <v>212</v>
      </c>
      <c r="C30" s="35" t="s">
        <v>84</v>
      </c>
      <c r="D30" s="35" t="s">
        <v>205</v>
      </c>
      <c r="E30" s="35">
        <v>8000</v>
      </c>
      <c r="F30" s="35">
        <v>6000</v>
      </c>
      <c r="G30" s="35">
        <v>4500</v>
      </c>
      <c r="H30" s="34" t="s">
        <v>317</v>
      </c>
      <c r="I30" s="34" t="s">
        <v>151</v>
      </c>
      <c r="J30" s="36">
        <v>233724</v>
      </c>
      <c r="K30" s="36">
        <v>551.05146140924762</v>
      </c>
      <c r="L30" s="37">
        <v>309</v>
      </c>
      <c r="M30" s="38">
        <f t="shared" si="2"/>
        <v>0.23372399999999999</v>
      </c>
      <c r="N30" s="36">
        <f t="shared" si="3"/>
        <v>2357.7016541272938</v>
      </c>
      <c r="O30" s="37">
        <f t="shared" si="4"/>
        <v>1322.0721877085793</v>
      </c>
      <c r="P30" s="39"/>
      <c r="Q30" s="40" t="s">
        <v>205</v>
      </c>
      <c r="S30" s="42">
        <f t="shared" si="0"/>
        <v>8000</v>
      </c>
      <c r="T30" s="50"/>
      <c r="U30" s="42">
        <f t="shared" si="1"/>
        <v>4000</v>
      </c>
    </row>
    <row r="31" spans="1:28" x14ac:dyDescent="0.3">
      <c r="A31" s="34" t="s">
        <v>318</v>
      </c>
      <c r="B31" s="34" t="s">
        <v>212</v>
      </c>
      <c r="C31" s="35" t="s">
        <v>85</v>
      </c>
      <c r="D31" s="35" t="s">
        <v>205</v>
      </c>
      <c r="E31" s="35">
        <v>8000</v>
      </c>
      <c r="F31" s="35">
        <v>6000</v>
      </c>
      <c r="G31" s="35">
        <v>4500</v>
      </c>
      <c r="H31" s="34" t="s">
        <v>318</v>
      </c>
      <c r="I31" s="34" t="s">
        <v>151</v>
      </c>
      <c r="J31" s="36">
        <v>97717</v>
      </c>
      <c r="K31" s="36">
        <v>42.388573954557508</v>
      </c>
      <c r="L31" s="37">
        <v>19</v>
      </c>
      <c r="M31" s="38">
        <f t="shared" si="2"/>
        <v>9.7716999999999998E-2</v>
      </c>
      <c r="N31" s="36">
        <f t="shared" si="3"/>
        <v>433.78914574288513</v>
      </c>
      <c r="O31" s="37">
        <f t="shared" si="4"/>
        <v>194.43904335990666</v>
      </c>
      <c r="P31" s="39"/>
      <c r="Q31" s="40" t="s">
        <v>206</v>
      </c>
      <c r="S31" s="42">
        <f t="shared" si="0"/>
        <v>6000</v>
      </c>
      <c r="T31" s="50"/>
      <c r="U31" s="42">
        <f t="shared" si="1"/>
        <v>3000</v>
      </c>
    </row>
    <row r="32" spans="1:28" x14ac:dyDescent="0.3">
      <c r="A32" s="34" t="s">
        <v>319</v>
      </c>
      <c r="B32" s="34" t="s">
        <v>212</v>
      </c>
      <c r="C32" s="35" t="s">
        <v>86</v>
      </c>
      <c r="D32" s="35" t="s">
        <v>208</v>
      </c>
      <c r="E32" s="35">
        <v>3000</v>
      </c>
      <c r="F32" s="35">
        <v>1500</v>
      </c>
      <c r="G32" s="35">
        <v>1200</v>
      </c>
      <c r="H32" s="34" t="s">
        <v>319</v>
      </c>
      <c r="I32" s="34" t="s">
        <v>151</v>
      </c>
      <c r="J32" s="36">
        <v>258852</v>
      </c>
      <c r="K32" s="36">
        <v>1261.8752400318276</v>
      </c>
      <c r="L32" s="37">
        <v>1265</v>
      </c>
      <c r="M32" s="38">
        <f t="shared" si="2"/>
        <v>0.25885200000000003</v>
      </c>
      <c r="N32" s="36">
        <f t="shared" si="3"/>
        <v>4874.8908257684989</v>
      </c>
      <c r="O32" s="37">
        <f t="shared" si="4"/>
        <v>4886.9624341322451</v>
      </c>
      <c r="P32" s="39"/>
      <c r="Q32" s="40" t="s">
        <v>208</v>
      </c>
      <c r="S32" s="42">
        <f t="shared" si="0"/>
        <v>1500</v>
      </c>
      <c r="T32" s="50"/>
      <c r="U32" s="42">
        <f t="shared" si="1"/>
        <v>1000</v>
      </c>
      <c r="V32" s="44"/>
    </row>
    <row r="33" spans="1:22" x14ac:dyDescent="0.3">
      <c r="A33" s="34" t="s">
        <v>320</v>
      </c>
      <c r="B33" s="34" t="s">
        <v>212</v>
      </c>
      <c r="C33" s="35" t="s">
        <v>87</v>
      </c>
      <c r="D33" s="35" t="s">
        <v>207</v>
      </c>
      <c r="E33" s="35">
        <v>3500</v>
      </c>
      <c r="F33" s="35">
        <v>2100</v>
      </c>
      <c r="G33" s="35">
        <v>1500</v>
      </c>
      <c r="H33" s="34" t="s">
        <v>320</v>
      </c>
      <c r="I33" s="34" t="s">
        <v>151</v>
      </c>
      <c r="J33" s="36">
        <v>316829</v>
      </c>
      <c r="K33" s="36">
        <v>5213.7945964105738</v>
      </c>
      <c r="L33" s="37">
        <v>5785</v>
      </c>
      <c r="M33" s="38">
        <f t="shared" si="2"/>
        <v>0.31682900000000003</v>
      </c>
      <c r="N33" s="36">
        <f t="shared" si="3"/>
        <v>16456.178558183037</v>
      </c>
      <c r="O33" s="37">
        <f t="shared" si="4"/>
        <v>18259.060881421839</v>
      </c>
      <c r="P33" s="39"/>
      <c r="Q33" s="40" t="s">
        <v>208</v>
      </c>
      <c r="S33" s="42">
        <f t="shared" si="0"/>
        <v>1500</v>
      </c>
      <c r="T33" s="50"/>
      <c r="U33" s="42">
        <f t="shared" si="1"/>
        <v>1000</v>
      </c>
      <c r="V33" s="44"/>
    </row>
    <row r="34" spans="1:22" x14ac:dyDescent="0.3">
      <c r="A34" s="34" t="s">
        <v>321</v>
      </c>
      <c r="B34" s="34" t="s">
        <v>212</v>
      </c>
      <c r="C34" s="35" t="s">
        <v>88</v>
      </c>
      <c r="D34" s="35" t="s">
        <v>206</v>
      </c>
      <c r="E34" s="35">
        <v>6000</v>
      </c>
      <c r="F34" s="35">
        <v>4500</v>
      </c>
      <c r="G34" s="35">
        <v>3500</v>
      </c>
      <c r="H34" s="34" t="s">
        <v>321</v>
      </c>
      <c r="I34" s="34" t="s">
        <v>151</v>
      </c>
      <c r="J34" s="36">
        <v>1187151</v>
      </c>
      <c r="K34" s="36">
        <v>10844.487804791795</v>
      </c>
      <c r="L34" s="37">
        <v>12037</v>
      </c>
      <c r="M34" s="38">
        <f t="shared" si="2"/>
        <v>1.1871510000000001</v>
      </c>
      <c r="N34" s="36">
        <f t="shared" si="3"/>
        <v>9134.8849512756133</v>
      </c>
      <c r="O34" s="37">
        <f t="shared" si="4"/>
        <v>10139.400969211161</v>
      </c>
      <c r="P34" s="39"/>
      <c r="Q34" s="40" t="s">
        <v>206</v>
      </c>
      <c r="S34" s="42">
        <f t="shared" si="0"/>
        <v>6000</v>
      </c>
      <c r="T34" s="50"/>
      <c r="U34" s="42">
        <f t="shared" si="1"/>
        <v>3000</v>
      </c>
      <c r="V34" s="44"/>
    </row>
    <row r="35" spans="1:22" x14ac:dyDescent="0.3">
      <c r="A35" s="34" t="s">
        <v>322</v>
      </c>
      <c r="B35" s="34" t="s">
        <v>212</v>
      </c>
      <c r="C35" s="35" t="s">
        <v>89</v>
      </c>
      <c r="D35" s="35" t="s">
        <v>207</v>
      </c>
      <c r="E35" s="35">
        <v>3500</v>
      </c>
      <c r="F35" s="35">
        <v>2100</v>
      </c>
      <c r="G35" s="35">
        <v>1500</v>
      </c>
      <c r="H35" s="34" t="s">
        <v>322</v>
      </c>
      <c r="I35" s="34" t="s">
        <v>151</v>
      </c>
      <c r="J35" s="36">
        <v>796122</v>
      </c>
      <c r="K35" s="36">
        <v>52.170552559455395</v>
      </c>
      <c r="L35" s="37">
        <v>26</v>
      </c>
      <c r="M35" s="38">
        <f t="shared" si="2"/>
        <v>0.796122</v>
      </c>
      <c r="N35" s="36">
        <f t="shared" si="3"/>
        <v>65.530851501975064</v>
      </c>
      <c r="O35" s="37">
        <f t="shared" si="4"/>
        <v>32.658311163364409</v>
      </c>
      <c r="P35" s="39"/>
      <c r="Q35" s="40" t="s">
        <v>207</v>
      </c>
      <c r="R35" s="41"/>
      <c r="S35" s="42">
        <f t="shared" si="0"/>
        <v>3500</v>
      </c>
      <c r="T35" s="43"/>
      <c r="U35" s="42">
        <f t="shared" si="1"/>
        <v>1750</v>
      </c>
      <c r="V35" s="44"/>
    </row>
    <row r="36" spans="1:22" x14ac:dyDescent="0.3">
      <c r="A36" s="34" t="s">
        <v>323</v>
      </c>
      <c r="B36" s="34" t="s">
        <v>212</v>
      </c>
      <c r="C36" s="35" t="s">
        <v>90</v>
      </c>
      <c r="D36" s="35" t="s">
        <v>206</v>
      </c>
      <c r="E36" s="35">
        <v>6000</v>
      </c>
      <c r="F36" s="35">
        <v>4500</v>
      </c>
      <c r="G36" s="35">
        <v>3500</v>
      </c>
      <c r="H36" s="34" t="s">
        <v>323</v>
      </c>
      <c r="I36" s="34" t="s">
        <v>151</v>
      </c>
      <c r="J36" s="36">
        <v>1318670</v>
      </c>
      <c r="K36" s="36">
        <v>2060.7368260984881</v>
      </c>
      <c r="L36" s="37">
        <v>797</v>
      </c>
      <c r="M36" s="38">
        <f t="shared" si="2"/>
        <v>1.31867</v>
      </c>
      <c r="N36" s="36">
        <f t="shared" si="3"/>
        <v>1562.7388399663964</v>
      </c>
      <c r="O36" s="37">
        <f t="shared" si="4"/>
        <v>604.39685440633366</v>
      </c>
      <c r="P36" s="39"/>
      <c r="Q36" s="40" t="s">
        <v>206</v>
      </c>
      <c r="S36" s="42">
        <f t="shared" si="0"/>
        <v>6000</v>
      </c>
      <c r="T36" s="50"/>
      <c r="U36" s="42">
        <f t="shared" si="1"/>
        <v>3000</v>
      </c>
      <c r="V36" s="44"/>
    </row>
    <row r="37" spans="1:22" x14ac:dyDescent="0.3">
      <c r="A37" s="34" t="s">
        <v>324</v>
      </c>
      <c r="B37" s="34" t="s">
        <v>212</v>
      </c>
      <c r="C37" s="35" t="s">
        <v>91</v>
      </c>
      <c r="D37" s="35" t="s">
        <v>206</v>
      </c>
      <c r="E37" s="35">
        <v>6000</v>
      </c>
      <c r="F37" s="35">
        <v>4500</v>
      </c>
      <c r="G37" s="35">
        <v>3500</v>
      </c>
      <c r="H37" s="34" t="s">
        <v>324</v>
      </c>
      <c r="I37" s="34" t="s">
        <v>151</v>
      </c>
      <c r="J37" s="36">
        <v>1647892</v>
      </c>
      <c r="K37" s="36">
        <v>322.80529396163024</v>
      </c>
      <c r="L37" s="37">
        <v>190</v>
      </c>
      <c r="M37" s="38">
        <f t="shared" si="2"/>
        <v>1.6478919999999999</v>
      </c>
      <c r="N37" s="36">
        <f t="shared" si="3"/>
        <v>195.88983620384727</v>
      </c>
      <c r="O37" s="37">
        <f t="shared" si="4"/>
        <v>115.29881812643062</v>
      </c>
      <c r="P37" s="39"/>
      <c r="Q37" s="40" t="s">
        <v>206</v>
      </c>
      <c r="S37" s="42">
        <f t="shared" si="0"/>
        <v>6000</v>
      </c>
      <c r="T37" s="50"/>
      <c r="U37" s="42">
        <f t="shared" si="1"/>
        <v>3000</v>
      </c>
      <c r="V37" s="44"/>
    </row>
    <row r="38" spans="1:22" x14ac:dyDescent="0.3">
      <c r="A38" s="34" t="s">
        <v>325</v>
      </c>
      <c r="B38" s="34" t="s">
        <v>213</v>
      </c>
      <c r="C38" s="35" t="s">
        <v>92</v>
      </c>
      <c r="D38" s="35" t="s">
        <v>207</v>
      </c>
      <c r="E38" s="35">
        <v>3500</v>
      </c>
      <c r="F38" s="35">
        <v>2100</v>
      </c>
      <c r="G38" s="35">
        <v>1500</v>
      </c>
      <c r="H38" s="34" t="s">
        <v>325</v>
      </c>
      <c r="I38" s="34" t="s">
        <v>151</v>
      </c>
      <c r="J38" s="36">
        <v>738986</v>
      </c>
      <c r="K38" s="36">
        <v>2854</v>
      </c>
      <c r="L38" s="37">
        <v>4436</v>
      </c>
      <c r="M38" s="38">
        <f>J38/1000000</f>
        <v>0.73898600000000003</v>
      </c>
      <c r="N38" s="36">
        <f>K38/M38</f>
        <v>3862.048807419897</v>
      </c>
      <c r="O38" s="37">
        <f>L38/M38</f>
        <v>6002.8200804886692</v>
      </c>
      <c r="P38" s="39"/>
      <c r="Q38" s="40" t="s">
        <v>207</v>
      </c>
      <c r="R38" s="41"/>
      <c r="S38" s="42">
        <f t="shared" si="0"/>
        <v>3500</v>
      </c>
      <c r="T38" s="43"/>
      <c r="U38" s="42">
        <f t="shared" si="1"/>
        <v>1750</v>
      </c>
      <c r="V38" s="44"/>
    </row>
    <row r="39" spans="1:22" x14ac:dyDescent="0.3">
      <c r="A39" s="34" t="s">
        <v>326</v>
      </c>
      <c r="B39" s="34" t="s">
        <v>213</v>
      </c>
      <c r="C39" s="35" t="s">
        <v>93</v>
      </c>
      <c r="D39" s="35" t="s">
        <v>207</v>
      </c>
      <c r="E39" s="35">
        <v>3500</v>
      </c>
      <c r="F39" s="35">
        <v>2100</v>
      </c>
      <c r="G39" s="35">
        <v>1500</v>
      </c>
      <c r="H39" s="34" t="s">
        <v>326</v>
      </c>
      <c r="I39" s="34" t="s">
        <v>151</v>
      </c>
      <c r="J39" s="36">
        <v>109073</v>
      </c>
      <c r="K39" s="36">
        <v>1065</v>
      </c>
      <c r="L39" s="37">
        <v>1456</v>
      </c>
      <c r="M39" s="38">
        <f>J39/1000000</f>
        <v>0.109073</v>
      </c>
      <c r="N39" s="36">
        <f>K39/M39</f>
        <v>9764.1029402326876</v>
      </c>
      <c r="O39" s="37">
        <f>L39/M39</f>
        <v>13348.858104205439</v>
      </c>
      <c r="P39" s="39"/>
      <c r="Q39" s="40" t="s">
        <v>207</v>
      </c>
      <c r="R39" s="41"/>
      <c r="S39" s="42">
        <f>VLOOKUP(Q39,$X$13:$AA$17,3,0)</f>
        <v>3500</v>
      </c>
      <c r="T39" s="43"/>
      <c r="U39" s="42">
        <f>VLOOKUP(Q39,$X$13:$AA$17,4,0)</f>
        <v>1750</v>
      </c>
      <c r="V39" s="44"/>
    </row>
    <row r="40" spans="1:22" x14ac:dyDescent="0.3">
      <c r="A40" s="34" t="s">
        <v>327</v>
      </c>
      <c r="B40" s="34" t="s">
        <v>213</v>
      </c>
      <c r="C40" s="35" t="s">
        <v>94</v>
      </c>
      <c r="D40" s="35" t="s">
        <v>206</v>
      </c>
      <c r="E40" s="35">
        <v>6000</v>
      </c>
      <c r="F40" s="35">
        <v>4500</v>
      </c>
      <c r="G40" s="35">
        <v>3500</v>
      </c>
      <c r="H40" s="34" t="s">
        <v>327</v>
      </c>
      <c r="I40" s="34" t="s">
        <v>151</v>
      </c>
      <c r="J40" s="36">
        <v>162064</v>
      </c>
      <c r="K40" s="36">
        <v>6.5213190699319243</v>
      </c>
      <c r="L40" s="37">
        <v>0</v>
      </c>
      <c r="M40" s="38">
        <f>J40/1000000</f>
        <v>0.16206400000000001</v>
      </c>
      <c r="N40" s="36">
        <f>K40/M40</f>
        <v>40.239159035516366</v>
      </c>
      <c r="O40" s="37">
        <f>L40/M40</f>
        <v>0</v>
      </c>
      <c r="P40" s="39"/>
      <c r="Q40" s="40" t="s">
        <v>206</v>
      </c>
      <c r="S40" s="42">
        <f>VLOOKUP(Q40,$X$13:$AA$17,3,0)</f>
        <v>6000</v>
      </c>
      <c r="T40" s="50"/>
      <c r="U40" s="42">
        <f>VLOOKUP(Q40,$X$13:$AA$17,4,0)</f>
        <v>3000</v>
      </c>
      <c r="V40" s="44"/>
    </row>
    <row r="41" spans="1:22" x14ac:dyDescent="0.3">
      <c r="A41" s="34" t="s">
        <v>328</v>
      </c>
      <c r="B41" s="34" t="s">
        <v>213</v>
      </c>
      <c r="C41" s="35" t="s">
        <v>96</v>
      </c>
      <c r="D41" s="35" t="s">
        <v>207</v>
      </c>
      <c r="E41" s="35">
        <v>3500</v>
      </c>
      <c r="F41" s="35">
        <v>2100</v>
      </c>
      <c r="G41" s="35">
        <v>1500</v>
      </c>
      <c r="H41" s="34" t="s">
        <v>328</v>
      </c>
      <c r="I41" s="34" t="s">
        <v>151</v>
      </c>
      <c r="J41" s="36">
        <v>2120527</v>
      </c>
      <c r="K41" s="36">
        <v>2497.6652037839272</v>
      </c>
      <c r="L41" s="37">
        <v>2958</v>
      </c>
      <c r="M41" s="38">
        <f t="shared" ref="M41:M46" si="5">J41/1000000</f>
        <v>2.1205270000000001</v>
      </c>
      <c r="N41" s="36">
        <f t="shared" ref="N41:N46" si="6">K41/M41</f>
        <v>1177.8511680275362</v>
      </c>
      <c r="O41" s="37">
        <f t="shared" ref="O41:O46" si="7">L41/M41</f>
        <v>1394.936258769636</v>
      </c>
      <c r="P41" s="39"/>
      <c r="Q41" s="40" t="s">
        <v>207</v>
      </c>
      <c r="R41" s="41"/>
      <c r="S41" s="42">
        <f t="shared" ref="S41:S72" si="8">VLOOKUP(Q41,$X$13:$AA$17,3,0)</f>
        <v>3500</v>
      </c>
      <c r="T41" s="43"/>
      <c r="U41" s="42">
        <f t="shared" ref="U41:U72" si="9">VLOOKUP(Q41,$X$13:$AA$17,4,0)</f>
        <v>1750</v>
      </c>
      <c r="V41" s="44"/>
    </row>
    <row r="42" spans="1:22" x14ac:dyDescent="0.3">
      <c r="A42" s="34" t="s">
        <v>329</v>
      </c>
      <c r="B42" s="34" t="s">
        <v>213</v>
      </c>
      <c r="C42" s="35" t="s">
        <v>95</v>
      </c>
      <c r="D42" s="35" t="s">
        <v>206</v>
      </c>
      <c r="E42" s="35">
        <v>6000</v>
      </c>
      <c r="F42" s="35">
        <v>4500</v>
      </c>
      <c r="G42" s="35">
        <v>3500</v>
      </c>
      <c r="H42" s="34" t="s">
        <v>329</v>
      </c>
      <c r="I42" s="34" t="s">
        <v>151</v>
      </c>
      <c r="J42" s="36">
        <v>712805</v>
      </c>
      <c r="K42" s="36">
        <v>6.5213190699319243</v>
      </c>
      <c r="L42" s="37">
        <v>0</v>
      </c>
      <c r="M42" s="38">
        <f t="shared" si="5"/>
        <v>0.71280500000000002</v>
      </c>
      <c r="N42" s="36">
        <f t="shared" si="6"/>
        <v>9.1488121855653706</v>
      </c>
      <c r="O42" s="37">
        <f t="shared" si="7"/>
        <v>0</v>
      </c>
      <c r="P42" s="39"/>
      <c r="Q42" s="40" t="s">
        <v>206</v>
      </c>
      <c r="S42" s="42">
        <f t="shared" si="8"/>
        <v>6000</v>
      </c>
      <c r="T42" s="50"/>
      <c r="U42" s="42">
        <f t="shared" si="9"/>
        <v>3000</v>
      </c>
      <c r="V42" s="44"/>
    </row>
    <row r="43" spans="1:22" x14ac:dyDescent="0.3">
      <c r="A43" s="34" t="s">
        <v>330</v>
      </c>
      <c r="B43" s="34" t="s">
        <v>213</v>
      </c>
      <c r="C43" s="35" t="s">
        <v>97</v>
      </c>
      <c r="D43" s="35" t="s">
        <v>206</v>
      </c>
      <c r="E43" s="35">
        <v>6000</v>
      </c>
      <c r="F43" s="35">
        <v>4500</v>
      </c>
      <c r="G43" s="35">
        <v>3500</v>
      </c>
      <c r="H43" s="34" t="s">
        <v>330</v>
      </c>
      <c r="I43" s="34" t="s">
        <v>151</v>
      </c>
      <c r="J43" s="36">
        <v>2750278</v>
      </c>
      <c r="K43" s="36">
        <v>104.34110511891079</v>
      </c>
      <c r="L43" s="37">
        <v>61</v>
      </c>
      <c r="M43" s="38">
        <f t="shared" si="5"/>
        <v>2.7502779999999998</v>
      </c>
      <c r="N43" s="36">
        <f t="shared" si="6"/>
        <v>37.938384817429657</v>
      </c>
      <c r="O43" s="37">
        <f t="shared" si="7"/>
        <v>22.17957602831423</v>
      </c>
      <c r="P43" s="39"/>
      <c r="Q43" s="40" t="s">
        <v>206</v>
      </c>
      <c r="S43" s="42">
        <f t="shared" si="8"/>
        <v>6000</v>
      </c>
      <c r="T43" s="50"/>
      <c r="U43" s="42">
        <f t="shared" si="9"/>
        <v>3000</v>
      </c>
      <c r="V43" s="44"/>
    </row>
    <row r="44" spans="1:22" x14ac:dyDescent="0.3">
      <c r="A44" s="34" t="s">
        <v>331</v>
      </c>
      <c r="B44" s="34" t="s">
        <v>213</v>
      </c>
      <c r="C44" s="35" t="s">
        <v>98</v>
      </c>
      <c r="D44" s="35" t="s">
        <v>207</v>
      </c>
      <c r="E44" s="35">
        <v>3500</v>
      </c>
      <c r="F44" s="35">
        <v>2100</v>
      </c>
      <c r="G44" s="35">
        <v>1500</v>
      </c>
      <c r="H44" s="34" t="s">
        <v>331</v>
      </c>
      <c r="I44" s="34" t="s">
        <v>151</v>
      </c>
      <c r="J44" s="36">
        <v>1042278</v>
      </c>
      <c r="K44" s="36">
        <v>3.2606595349659622</v>
      </c>
      <c r="L44" s="37">
        <v>0</v>
      </c>
      <c r="M44" s="38">
        <f t="shared" si="5"/>
        <v>1.042278</v>
      </c>
      <c r="N44" s="36">
        <f t="shared" si="6"/>
        <v>3.1283971598421556</v>
      </c>
      <c r="O44" s="37">
        <f t="shared" si="7"/>
        <v>0</v>
      </c>
      <c r="P44" s="39"/>
      <c r="Q44" s="40" t="s">
        <v>207</v>
      </c>
      <c r="R44" s="41"/>
      <c r="S44" s="42">
        <f t="shared" si="8"/>
        <v>3500</v>
      </c>
      <c r="T44" s="43"/>
      <c r="U44" s="42">
        <f t="shared" si="9"/>
        <v>1750</v>
      </c>
      <c r="V44" s="44"/>
    </row>
    <row r="45" spans="1:22" x14ac:dyDescent="0.3">
      <c r="A45" s="34" t="s">
        <v>332</v>
      </c>
      <c r="B45" s="34" t="s">
        <v>213</v>
      </c>
      <c r="C45" s="35" t="s">
        <v>99</v>
      </c>
      <c r="D45" s="35" t="s">
        <v>207</v>
      </c>
      <c r="E45" s="35">
        <v>3500</v>
      </c>
      <c r="F45" s="35">
        <v>2100</v>
      </c>
      <c r="G45" s="35">
        <v>1500</v>
      </c>
      <c r="H45" s="34" t="s">
        <v>332</v>
      </c>
      <c r="I45" s="34" t="s">
        <v>151</v>
      </c>
      <c r="J45" s="36">
        <v>2873276</v>
      </c>
      <c r="K45" s="36">
        <v>0</v>
      </c>
      <c r="L45" s="37">
        <v>0</v>
      </c>
      <c r="M45" s="38">
        <f t="shared" si="5"/>
        <v>2.8732760000000002</v>
      </c>
      <c r="N45" s="36">
        <f t="shared" si="6"/>
        <v>0</v>
      </c>
      <c r="O45" s="37">
        <f t="shared" si="7"/>
        <v>0</v>
      </c>
      <c r="P45" s="39"/>
      <c r="Q45" s="40" t="s">
        <v>207</v>
      </c>
      <c r="R45" s="41"/>
      <c r="S45" s="42">
        <f t="shared" si="8"/>
        <v>3500</v>
      </c>
      <c r="T45" s="43"/>
      <c r="U45" s="42">
        <f t="shared" si="9"/>
        <v>1750</v>
      </c>
      <c r="V45" s="44"/>
    </row>
    <row r="46" spans="1:22" x14ac:dyDescent="0.3">
      <c r="A46" s="34" t="s">
        <v>333</v>
      </c>
      <c r="B46" s="34" t="s">
        <v>213</v>
      </c>
      <c r="C46" s="35" t="s">
        <v>100</v>
      </c>
      <c r="D46" s="35" t="s">
        <v>207</v>
      </c>
      <c r="E46" s="35">
        <v>3500</v>
      </c>
      <c r="F46" s="35">
        <v>2100</v>
      </c>
      <c r="G46" s="35">
        <v>1500</v>
      </c>
      <c r="H46" s="34" t="s">
        <v>333</v>
      </c>
      <c r="I46" s="34" t="s">
        <v>151</v>
      </c>
      <c r="J46" s="36">
        <v>3062332</v>
      </c>
      <c r="K46" s="36">
        <v>68.473850234285209</v>
      </c>
      <c r="L46" s="37">
        <v>69</v>
      </c>
      <c r="M46" s="38">
        <f t="shared" si="5"/>
        <v>3.0623320000000001</v>
      </c>
      <c r="N46" s="36">
        <f t="shared" si="6"/>
        <v>22.360034847392512</v>
      </c>
      <c r="O46" s="37">
        <f t="shared" si="7"/>
        <v>22.531848277717764</v>
      </c>
      <c r="P46" s="39"/>
      <c r="Q46" s="40" t="s">
        <v>207</v>
      </c>
      <c r="R46" s="41"/>
      <c r="S46" s="42">
        <f t="shared" si="8"/>
        <v>3500</v>
      </c>
      <c r="T46" s="43"/>
      <c r="U46" s="42">
        <f t="shared" si="9"/>
        <v>1750</v>
      </c>
      <c r="V46" s="44"/>
    </row>
    <row r="47" spans="1:22" x14ac:dyDescent="0.3">
      <c r="A47" s="34" t="s">
        <v>334</v>
      </c>
      <c r="B47" s="34" t="s">
        <v>214</v>
      </c>
      <c r="C47" s="35" t="s">
        <v>101</v>
      </c>
      <c r="D47" s="35" t="s">
        <v>207</v>
      </c>
      <c r="E47" s="35">
        <v>3500</v>
      </c>
      <c r="F47" s="35">
        <v>2100</v>
      </c>
      <c r="G47" s="35">
        <v>1500</v>
      </c>
      <c r="H47" s="34" t="s">
        <v>334</v>
      </c>
      <c r="I47" s="34" t="s">
        <v>151</v>
      </c>
      <c r="J47" s="36">
        <v>889727</v>
      </c>
      <c r="K47" s="36">
        <v>5458.344061533021</v>
      </c>
      <c r="L47" s="37">
        <v>4470</v>
      </c>
      <c r="M47" s="38">
        <f t="shared" si="2"/>
        <v>0.88972700000000005</v>
      </c>
      <c r="N47" s="36">
        <f t="shared" si="3"/>
        <v>6134.8526700134098</v>
      </c>
      <c r="O47" s="37">
        <f t="shared" si="4"/>
        <v>5024.0129837579389</v>
      </c>
      <c r="P47" s="39"/>
      <c r="Q47" s="40" t="s">
        <v>206</v>
      </c>
      <c r="S47" s="42">
        <f t="shared" si="8"/>
        <v>6000</v>
      </c>
      <c r="T47" s="50"/>
      <c r="U47" s="42">
        <f t="shared" si="9"/>
        <v>3000</v>
      </c>
      <c r="V47" s="44"/>
    </row>
    <row r="48" spans="1:22" x14ac:dyDescent="0.3">
      <c r="A48" s="34" t="s">
        <v>335</v>
      </c>
      <c r="B48" s="34" t="s">
        <v>214</v>
      </c>
      <c r="C48" s="35" t="s">
        <v>102</v>
      </c>
      <c r="D48" s="35" t="s">
        <v>207</v>
      </c>
      <c r="E48" s="35">
        <v>3500</v>
      </c>
      <c r="F48" s="35">
        <v>2100</v>
      </c>
      <c r="G48" s="35">
        <v>1500</v>
      </c>
      <c r="H48" s="34" t="s">
        <v>335</v>
      </c>
      <c r="I48" s="34" t="s">
        <v>151</v>
      </c>
      <c r="J48" s="36">
        <v>587849</v>
      </c>
      <c r="K48" s="36">
        <v>4789.9088568649986</v>
      </c>
      <c r="L48" s="37">
        <v>4834</v>
      </c>
      <c r="M48" s="38">
        <f t="shared" si="2"/>
        <v>0.58784899999999995</v>
      </c>
      <c r="N48" s="36">
        <f t="shared" si="3"/>
        <v>8148.1959769685736</v>
      </c>
      <c r="O48" s="37">
        <f t="shared" si="4"/>
        <v>8223.2001755552883</v>
      </c>
      <c r="P48" s="39"/>
      <c r="Q48" s="40" t="s">
        <v>207</v>
      </c>
      <c r="R48" s="41"/>
      <c r="S48" s="42">
        <f t="shared" si="8"/>
        <v>3500</v>
      </c>
      <c r="T48" s="43"/>
      <c r="U48" s="42">
        <f t="shared" si="9"/>
        <v>1750</v>
      </c>
      <c r="V48" s="44"/>
    </row>
    <row r="49" spans="1:22" x14ac:dyDescent="0.3">
      <c r="A49" s="34" t="s">
        <v>336</v>
      </c>
      <c r="B49" s="34" t="s">
        <v>214</v>
      </c>
      <c r="C49" s="35" t="s">
        <v>103</v>
      </c>
      <c r="D49" s="35" t="s">
        <v>207</v>
      </c>
      <c r="E49" s="35">
        <v>3500</v>
      </c>
      <c r="F49" s="35">
        <v>2100</v>
      </c>
      <c r="G49" s="35">
        <v>1500</v>
      </c>
      <c r="H49" s="34" t="s">
        <v>336</v>
      </c>
      <c r="I49" s="34" t="s">
        <v>151</v>
      </c>
      <c r="J49" s="36">
        <v>96301</v>
      </c>
      <c r="K49" s="36">
        <v>1679.2396605074707</v>
      </c>
      <c r="L49" s="37">
        <v>1519</v>
      </c>
      <c r="M49" s="38">
        <f t="shared" si="2"/>
        <v>9.6300999999999998E-2</v>
      </c>
      <c r="N49" s="36">
        <f t="shared" si="3"/>
        <v>17437.40626273321</v>
      </c>
      <c r="O49" s="37">
        <f t="shared" si="4"/>
        <v>15773.460296362447</v>
      </c>
      <c r="P49" s="39"/>
      <c r="Q49" s="40" t="s">
        <v>207</v>
      </c>
      <c r="R49" s="41"/>
      <c r="S49" s="42">
        <f t="shared" si="8"/>
        <v>3500</v>
      </c>
      <c r="T49" s="43"/>
      <c r="U49" s="42">
        <f t="shared" si="9"/>
        <v>1750</v>
      </c>
      <c r="V49" s="44"/>
    </row>
    <row r="50" spans="1:22" x14ac:dyDescent="0.3">
      <c r="A50" s="34" t="s">
        <v>337</v>
      </c>
      <c r="B50" s="34" t="s">
        <v>214</v>
      </c>
      <c r="C50" s="35" t="s">
        <v>104</v>
      </c>
      <c r="D50" s="35" t="s">
        <v>207</v>
      </c>
      <c r="E50" s="35">
        <v>3500</v>
      </c>
      <c r="F50" s="35">
        <v>2100</v>
      </c>
      <c r="G50" s="35">
        <v>1500</v>
      </c>
      <c r="H50" s="34" t="s">
        <v>337</v>
      </c>
      <c r="I50" s="34" t="s">
        <v>151</v>
      </c>
      <c r="J50" s="36">
        <v>442874</v>
      </c>
      <c r="K50" s="36">
        <v>8722.2642560339482</v>
      </c>
      <c r="L50" s="37">
        <v>8483</v>
      </c>
      <c r="M50" s="38">
        <f t="shared" si="2"/>
        <v>0.44287399999999999</v>
      </c>
      <c r="N50" s="36">
        <f t="shared" si="3"/>
        <v>19694.685748167532</v>
      </c>
      <c r="O50" s="37">
        <f t="shared" si="4"/>
        <v>19154.432186129688</v>
      </c>
      <c r="P50" s="39"/>
      <c r="Q50" s="40" t="s">
        <v>207</v>
      </c>
      <c r="R50" s="41"/>
      <c r="S50" s="42">
        <f t="shared" si="8"/>
        <v>3500</v>
      </c>
      <c r="T50" s="43"/>
      <c r="U50" s="42">
        <f t="shared" si="9"/>
        <v>1750</v>
      </c>
      <c r="V50" s="44"/>
    </row>
    <row r="51" spans="1:22" x14ac:dyDescent="0.3">
      <c r="A51" s="34" t="s">
        <v>338</v>
      </c>
      <c r="B51" s="34" t="s">
        <v>214</v>
      </c>
      <c r="C51" s="35" t="s">
        <v>105</v>
      </c>
      <c r="D51" s="35" t="s">
        <v>207</v>
      </c>
      <c r="E51" s="35">
        <v>3500</v>
      </c>
      <c r="F51" s="35">
        <v>2100</v>
      </c>
      <c r="G51" s="35">
        <v>1500</v>
      </c>
      <c r="H51" s="34" t="s">
        <v>338</v>
      </c>
      <c r="I51" s="34" t="s">
        <v>151</v>
      </c>
      <c r="J51" s="36">
        <v>502546</v>
      </c>
      <c r="K51" s="36">
        <v>7708.1991406595344</v>
      </c>
      <c r="L51" s="37">
        <v>7505</v>
      </c>
      <c r="M51" s="38">
        <f t="shared" si="2"/>
        <v>0.50254600000000005</v>
      </c>
      <c r="N51" s="36">
        <f t="shared" si="3"/>
        <v>15338.295679717943</v>
      </c>
      <c r="O51" s="37">
        <f t="shared" si="4"/>
        <v>14933.956294548159</v>
      </c>
      <c r="P51" s="39"/>
      <c r="Q51" s="40" t="s">
        <v>207</v>
      </c>
      <c r="R51" s="41"/>
      <c r="S51" s="42">
        <f t="shared" si="8"/>
        <v>3500</v>
      </c>
      <c r="T51" s="43"/>
      <c r="U51" s="42">
        <f t="shared" si="9"/>
        <v>1750</v>
      </c>
      <c r="V51" s="44"/>
    </row>
    <row r="52" spans="1:22" x14ac:dyDescent="0.3">
      <c r="A52" s="34" t="s">
        <v>339</v>
      </c>
      <c r="B52" s="34" t="s">
        <v>214</v>
      </c>
      <c r="C52" s="35" t="s">
        <v>106</v>
      </c>
      <c r="D52" s="35" t="s">
        <v>208</v>
      </c>
      <c r="E52" s="35">
        <v>3000</v>
      </c>
      <c r="F52" s="35">
        <v>1500</v>
      </c>
      <c r="G52" s="35">
        <v>1200</v>
      </c>
      <c r="H52" s="34" t="s">
        <v>339</v>
      </c>
      <c r="I52" s="34" t="s">
        <v>151</v>
      </c>
      <c r="J52" s="36">
        <v>352777</v>
      </c>
      <c r="K52" s="36">
        <v>2308.5469507559014</v>
      </c>
      <c r="L52" s="37">
        <v>2174</v>
      </c>
      <c r="M52" s="38">
        <f t="shared" si="2"/>
        <v>0.35277700000000001</v>
      </c>
      <c r="N52" s="36">
        <f t="shared" si="3"/>
        <v>6543.9270438716285</v>
      </c>
      <c r="O52" s="37">
        <f t="shared" si="4"/>
        <v>6162.5332717268984</v>
      </c>
      <c r="P52" s="39"/>
      <c r="Q52" s="40" t="s">
        <v>208</v>
      </c>
      <c r="S52" s="42">
        <f t="shared" si="8"/>
        <v>1500</v>
      </c>
      <c r="T52" s="50"/>
      <c r="U52" s="42">
        <f t="shared" si="9"/>
        <v>1000</v>
      </c>
      <c r="V52" s="44"/>
    </row>
    <row r="53" spans="1:22" x14ac:dyDescent="0.3">
      <c r="A53" s="34" t="s">
        <v>340</v>
      </c>
      <c r="B53" s="34" t="s">
        <v>214</v>
      </c>
      <c r="C53" s="35" t="s">
        <v>107</v>
      </c>
      <c r="D53" s="35" t="s">
        <v>208</v>
      </c>
      <c r="E53" s="35">
        <v>3000</v>
      </c>
      <c r="F53" s="35">
        <v>1500</v>
      </c>
      <c r="G53" s="35">
        <v>1200</v>
      </c>
      <c r="H53" s="34" t="s">
        <v>340</v>
      </c>
      <c r="I53" s="34" t="s">
        <v>151</v>
      </c>
      <c r="J53" s="36">
        <v>259895</v>
      </c>
      <c r="K53" s="36">
        <v>792.34026699672881</v>
      </c>
      <c r="L53" s="37">
        <v>772</v>
      </c>
      <c r="M53" s="38">
        <f t="shared" si="2"/>
        <v>0.25989499999999999</v>
      </c>
      <c r="N53" s="36">
        <f t="shared" si="3"/>
        <v>3048.6937686247479</v>
      </c>
      <c r="O53" s="37">
        <f t="shared" si="4"/>
        <v>2970.4303661093904</v>
      </c>
      <c r="P53" s="39"/>
      <c r="Q53" s="40" t="s">
        <v>208</v>
      </c>
      <c r="S53" s="42">
        <f t="shared" si="8"/>
        <v>1500</v>
      </c>
      <c r="T53" s="50"/>
      <c r="U53" s="42">
        <f t="shared" si="9"/>
        <v>1000</v>
      </c>
      <c r="V53" s="44"/>
    </row>
    <row r="54" spans="1:22" x14ac:dyDescent="0.3">
      <c r="A54" s="34" t="s">
        <v>341</v>
      </c>
      <c r="B54" s="34" t="s">
        <v>214</v>
      </c>
      <c r="C54" s="35" t="s">
        <v>108</v>
      </c>
      <c r="D54" s="35" t="s">
        <v>208</v>
      </c>
      <c r="E54" s="35">
        <v>3000</v>
      </c>
      <c r="F54" s="35">
        <v>1500</v>
      </c>
      <c r="G54" s="35">
        <v>1200</v>
      </c>
      <c r="H54" s="34" t="s">
        <v>341</v>
      </c>
      <c r="I54" s="34" t="s">
        <v>151</v>
      </c>
      <c r="J54" s="36">
        <v>370995</v>
      </c>
      <c r="K54" s="36">
        <v>2869.3803907700471</v>
      </c>
      <c r="L54" s="37">
        <v>2912</v>
      </c>
      <c r="M54" s="38">
        <f t="shared" si="2"/>
        <v>0.37099500000000002</v>
      </c>
      <c r="N54" s="36">
        <f t="shared" si="3"/>
        <v>7734.2831864851196</v>
      </c>
      <c r="O54" s="37">
        <f t="shared" si="4"/>
        <v>7849.162387633256</v>
      </c>
      <c r="P54" s="39"/>
      <c r="Q54" s="40" t="s">
        <v>208</v>
      </c>
      <c r="S54" s="42">
        <f t="shared" si="8"/>
        <v>1500</v>
      </c>
      <c r="T54" s="50"/>
      <c r="U54" s="42">
        <f t="shared" si="9"/>
        <v>1000</v>
      </c>
      <c r="V54" s="44"/>
    </row>
    <row r="55" spans="1:22" x14ac:dyDescent="0.3">
      <c r="A55" s="34" t="s">
        <v>342</v>
      </c>
      <c r="B55" s="34" t="s">
        <v>214</v>
      </c>
      <c r="C55" s="35" t="s">
        <v>109</v>
      </c>
      <c r="D55" s="35" t="s">
        <v>207</v>
      </c>
      <c r="E55" s="35">
        <v>3500</v>
      </c>
      <c r="F55" s="35">
        <v>2100</v>
      </c>
      <c r="G55" s="35">
        <v>1500</v>
      </c>
      <c r="H55" s="34" t="s">
        <v>342</v>
      </c>
      <c r="I55" s="34" t="s">
        <v>151</v>
      </c>
      <c r="J55" s="36">
        <v>533319</v>
      </c>
      <c r="K55" s="36">
        <v>1362.9556856157722</v>
      </c>
      <c r="L55" s="37">
        <v>1128</v>
      </c>
      <c r="M55" s="38">
        <f t="shared" si="2"/>
        <v>0.53331899999999999</v>
      </c>
      <c r="N55" s="36">
        <f t="shared" si="3"/>
        <v>2555.6105925642482</v>
      </c>
      <c r="O55" s="37">
        <f t="shared" si="4"/>
        <v>2115.0568421526327</v>
      </c>
      <c r="P55" s="39"/>
      <c r="Q55" s="40" t="s">
        <v>207</v>
      </c>
      <c r="R55" s="41"/>
      <c r="S55" s="42">
        <f t="shared" si="8"/>
        <v>3500</v>
      </c>
      <c r="T55" s="43"/>
      <c r="U55" s="42">
        <f t="shared" si="9"/>
        <v>1750</v>
      </c>
      <c r="V55" s="44"/>
    </row>
    <row r="56" spans="1:22" x14ac:dyDescent="0.3">
      <c r="A56" s="34" t="s">
        <v>343</v>
      </c>
      <c r="B56" s="34" t="s">
        <v>214</v>
      </c>
      <c r="C56" s="35" t="s">
        <v>110</v>
      </c>
      <c r="D56" s="35" t="s">
        <v>206</v>
      </c>
      <c r="E56" s="35">
        <v>6000</v>
      </c>
      <c r="F56" s="35">
        <v>4500</v>
      </c>
      <c r="G56" s="35">
        <v>3500</v>
      </c>
      <c r="H56" s="34" t="s">
        <v>343</v>
      </c>
      <c r="I56" s="34" t="s">
        <v>151</v>
      </c>
      <c r="J56" s="36">
        <v>474840</v>
      </c>
      <c r="K56" s="36">
        <v>6.5213190699319243</v>
      </c>
      <c r="L56" s="37">
        <v>0</v>
      </c>
      <c r="M56" s="38">
        <f t="shared" si="2"/>
        <v>0.47483999999999998</v>
      </c>
      <c r="N56" s="36">
        <f t="shared" si="3"/>
        <v>13.733718873582522</v>
      </c>
      <c r="O56" s="37">
        <f t="shared" si="4"/>
        <v>0</v>
      </c>
      <c r="P56" s="39"/>
      <c r="Q56" s="40" t="s">
        <v>206</v>
      </c>
      <c r="S56" s="42">
        <f t="shared" si="8"/>
        <v>6000</v>
      </c>
      <c r="T56" s="50"/>
      <c r="U56" s="42">
        <f t="shared" si="9"/>
        <v>3000</v>
      </c>
      <c r="V56" s="44"/>
    </row>
    <row r="57" spans="1:22" x14ac:dyDescent="0.3">
      <c r="A57" s="34" t="s">
        <v>344</v>
      </c>
      <c r="B57" s="34" t="s">
        <v>214</v>
      </c>
      <c r="C57" s="169" t="s">
        <v>258</v>
      </c>
      <c r="D57" s="35" t="s">
        <v>207</v>
      </c>
      <c r="E57" s="35">
        <v>3500</v>
      </c>
      <c r="F57" s="35">
        <v>2100</v>
      </c>
      <c r="G57" s="35">
        <v>1500</v>
      </c>
      <c r="H57" s="34" t="s">
        <v>344</v>
      </c>
      <c r="I57" s="34" t="s">
        <v>151</v>
      </c>
      <c r="J57" s="36">
        <v>1033708</v>
      </c>
      <c r="K57" s="36">
        <v>35.867254884625588</v>
      </c>
      <c r="L57" s="37">
        <v>9</v>
      </c>
      <c r="M57" s="38">
        <f t="shared" si="2"/>
        <v>1.0337080000000001</v>
      </c>
      <c r="N57" s="36">
        <f t="shared" si="3"/>
        <v>34.697665960431365</v>
      </c>
      <c r="O57" s="37">
        <f t="shared" si="4"/>
        <v>8.7065206034973119</v>
      </c>
      <c r="P57" s="39"/>
      <c r="Q57" s="40" t="s">
        <v>207</v>
      </c>
      <c r="R57" s="41"/>
      <c r="S57" s="42">
        <f t="shared" si="8"/>
        <v>3500</v>
      </c>
      <c r="T57" s="43"/>
      <c r="U57" s="42">
        <f t="shared" si="9"/>
        <v>1750</v>
      </c>
      <c r="V57" s="44"/>
    </row>
    <row r="58" spans="1:22" x14ac:dyDescent="0.3">
      <c r="A58" s="34" t="s">
        <v>345</v>
      </c>
      <c r="B58" s="34" t="s">
        <v>214</v>
      </c>
      <c r="C58" s="35" t="s">
        <v>111</v>
      </c>
      <c r="D58" s="35" t="s">
        <v>208</v>
      </c>
      <c r="E58" s="35">
        <v>3000</v>
      </c>
      <c r="F58" s="35">
        <v>1500</v>
      </c>
      <c r="G58" s="35">
        <v>1200</v>
      </c>
      <c r="H58" s="34" t="s">
        <v>345</v>
      </c>
      <c r="I58" s="34" t="s">
        <v>151</v>
      </c>
      <c r="J58" s="36">
        <v>2199506</v>
      </c>
      <c r="K58" s="36">
        <v>3.2606595349659622</v>
      </c>
      <c r="L58" s="37">
        <v>0</v>
      </c>
      <c r="M58" s="38">
        <f t="shared" si="2"/>
        <v>2.199506</v>
      </c>
      <c r="N58" s="36">
        <f t="shared" si="3"/>
        <v>1.4824508480385878</v>
      </c>
      <c r="O58" s="37">
        <f t="shared" si="4"/>
        <v>0</v>
      </c>
      <c r="P58" s="39"/>
      <c r="Q58" s="40" t="s">
        <v>207</v>
      </c>
      <c r="R58" s="41"/>
      <c r="S58" s="42">
        <f t="shared" si="8"/>
        <v>3500</v>
      </c>
      <c r="T58" s="43"/>
      <c r="U58" s="42">
        <f t="shared" si="9"/>
        <v>1750</v>
      </c>
      <c r="V58" s="44"/>
    </row>
    <row r="59" spans="1:22" x14ac:dyDescent="0.3">
      <c r="A59" s="34" t="s">
        <v>346</v>
      </c>
      <c r="B59" s="34" t="s">
        <v>214</v>
      </c>
      <c r="C59" s="35" t="s">
        <v>112</v>
      </c>
      <c r="D59" s="35" t="s">
        <v>208</v>
      </c>
      <c r="E59" s="35">
        <v>3000</v>
      </c>
      <c r="F59" s="35">
        <v>1500</v>
      </c>
      <c r="G59" s="35">
        <v>1200</v>
      </c>
      <c r="H59" s="34" t="s">
        <v>346</v>
      </c>
      <c r="I59" s="34" t="s">
        <v>151</v>
      </c>
      <c r="J59" s="36">
        <v>1631130</v>
      </c>
      <c r="K59" s="36">
        <v>293.45935814693661</v>
      </c>
      <c r="L59" s="37">
        <v>218</v>
      </c>
      <c r="M59" s="38">
        <f t="shared" si="2"/>
        <v>1.63113</v>
      </c>
      <c r="N59" s="36">
        <f t="shared" si="3"/>
        <v>179.91169198465886</v>
      </c>
      <c r="O59" s="37">
        <f t="shared" si="4"/>
        <v>133.64967844377824</v>
      </c>
      <c r="P59" s="39"/>
      <c r="Q59" s="40" t="s">
        <v>207</v>
      </c>
      <c r="R59" s="41"/>
      <c r="S59" s="42">
        <f t="shared" si="8"/>
        <v>3500</v>
      </c>
      <c r="T59" s="43"/>
      <c r="U59" s="42">
        <f t="shared" si="9"/>
        <v>1750</v>
      </c>
      <c r="V59" s="44"/>
    </row>
    <row r="60" spans="1:22" x14ac:dyDescent="0.3">
      <c r="A60" s="34" t="s">
        <v>347</v>
      </c>
      <c r="B60" s="34" t="s">
        <v>214</v>
      </c>
      <c r="C60" s="35" t="s">
        <v>113</v>
      </c>
      <c r="D60" s="35" t="s">
        <v>208</v>
      </c>
      <c r="E60" s="35">
        <v>3000</v>
      </c>
      <c r="F60" s="35">
        <v>1500</v>
      </c>
      <c r="G60" s="35">
        <v>1200</v>
      </c>
      <c r="H60" s="34" t="s">
        <v>347</v>
      </c>
      <c r="I60" s="34" t="s">
        <v>151</v>
      </c>
      <c r="J60" s="36">
        <v>477564</v>
      </c>
      <c r="K60" s="36">
        <v>29.345935814693661</v>
      </c>
      <c r="L60" s="37">
        <v>4</v>
      </c>
      <c r="M60" s="38">
        <f t="shared" si="2"/>
        <v>0.47756399999999999</v>
      </c>
      <c r="N60" s="36">
        <f t="shared" si="3"/>
        <v>61.449221077580518</v>
      </c>
      <c r="O60" s="37">
        <f t="shared" si="4"/>
        <v>8.3758407250127735</v>
      </c>
      <c r="P60" s="39"/>
      <c r="Q60" s="40" t="s">
        <v>207</v>
      </c>
      <c r="R60" s="41"/>
      <c r="S60" s="42">
        <f t="shared" si="8"/>
        <v>3500</v>
      </c>
      <c r="T60" s="43"/>
      <c r="U60" s="42">
        <f t="shared" si="9"/>
        <v>1750</v>
      </c>
      <c r="V60" s="44"/>
    </row>
    <row r="61" spans="1:22" x14ac:dyDescent="0.3">
      <c r="A61" s="34" t="s">
        <v>348</v>
      </c>
      <c r="B61" s="34" t="s">
        <v>215</v>
      </c>
      <c r="C61" s="35" t="s">
        <v>114</v>
      </c>
      <c r="D61" s="35" t="s">
        <v>209</v>
      </c>
      <c r="E61" s="35">
        <v>1500</v>
      </c>
      <c r="F61" s="35">
        <v>1000</v>
      </c>
      <c r="G61" s="35">
        <v>800</v>
      </c>
      <c r="H61" s="34" t="s">
        <v>348</v>
      </c>
      <c r="I61" s="34" t="s">
        <v>151</v>
      </c>
      <c r="J61" s="36">
        <v>3443513</v>
      </c>
      <c r="K61" s="36">
        <v>606.48267350366905</v>
      </c>
      <c r="L61" s="37">
        <v>570</v>
      </c>
      <c r="M61" s="38">
        <f t="shared" ref="M61:M69" si="10">J61/1000000</f>
        <v>3.4435129999999998</v>
      </c>
      <c r="N61" s="36">
        <f t="shared" ref="N61:N69" si="11">K61/M61</f>
        <v>176.12324202164157</v>
      </c>
      <c r="O61" s="37">
        <f t="shared" ref="O61:O69" si="12">L61/M61</f>
        <v>165.52863311391593</v>
      </c>
      <c r="P61" s="39"/>
      <c r="Q61" s="40" t="s">
        <v>207</v>
      </c>
      <c r="R61" s="41"/>
      <c r="S61" s="42">
        <f t="shared" si="8"/>
        <v>3500</v>
      </c>
      <c r="T61" s="43"/>
      <c r="U61" s="42">
        <f t="shared" si="9"/>
        <v>1750</v>
      </c>
      <c r="V61" s="44"/>
    </row>
    <row r="62" spans="1:22" x14ac:dyDescent="0.3">
      <c r="A62" s="34" t="s">
        <v>349</v>
      </c>
      <c r="B62" s="34" t="s">
        <v>215</v>
      </c>
      <c r="C62" s="35" t="s">
        <v>115</v>
      </c>
      <c r="D62" s="35" t="s">
        <v>208</v>
      </c>
      <c r="E62" s="35">
        <v>3000</v>
      </c>
      <c r="F62" s="35">
        <v>1500</v>
      </c>
      <c r="G62" s="35">
        <v>1200</v>
      </c>
      <c r="H62" s="34" t="s">
        <v>349</v>
      </c>
      <c r="I62" s="34" t="s">
        <v>151</v>
      </c>
      <c r="J62" s="36">
        <v>2852507</v>
      </c>
      <c r="K62" s="36">
        <v>45.649233489523475</v>
      </c>
      <c r="L62" s="37">
        <v>57</v>
      </c>
      <c r="M62" s="38">
        <f t="shared" si="10"/>
        <v>2.8525070000000001</v>
      </c>
      <c r="N62" s="36">
        <f t="shared" si="11"/>
        <v>16.003197709777215</v>
      </c>
      <c r="O62" s="37">
        <f t="shared" si="12"/>
        <v>19.982422479594266</v>
      </c>
      <c r="P62" s="39"/>
      <c r="Q62" s="40" t="s">
        <v>207</v>
      </c>
      <c r="R62" s="41"/>
      <c r="S62" s="42">
        <f t="shared" si="8"/>
        <v>3500</v>
      </c>
      <c r="T62" s="43"/>
      <c r="U62" s="42">
        <f t="shared" si="9"/>
        <v>1750</v>
      </c>
      <c r="V62" s="44"/>
    </row>
    <row r="63" spans="1:22" x14ac:dyDescent="0.3">
      <c r="A63" s="34" t="s">
        <v>350</v>
      </c>
      <c r="B63" s="34" t="s">
        <v>215</v>
      </c>
      <c r="C63" s="35" t="s">
        <v>116</v>
      </c>
      <c r="D63" s="35" t="s">
        <v>208</v>
      </c>
      <c r="E63" s="35">
        <v>3000</v>
      </c>
      <c r="F63" s="35">
        <v>1500</v>
      </c>
      <c r="G63" s="35">
        <v>1200</v>
      </c>
      <c r="H63" s="34" t="s">
        <v>350</v>
      </c>
      <c r="I63" s="34" t="s">
        <v>151</v>
      </c>
      <c r="J63" s="36">
        <v>2447715</v>
      </c>
      <c r="K63" s="36">
        <v>0</v>
      </c>
      <c r="L63" s="37">
        <v>0</v>
      </c>
      <c r="M63" s="38">
        <f t="shared" si="10"/>
        <v>2.4477150000000001</v>
      </c>
      <c r="N63" s="36">
        <f t="shared" si="11"/>
        <v>0</v>
      </c>
      <c r="O63" s="37">
        <f t="shared" si="12"/>
        <v>0</v>
      </c>
      <c r="P63" s="39"/>
      <c r="Q63" s="40" t="s">
        <v>208</v>
      </c>
      <c r="S63" s="42">
        <f t="shared" si="8"/>
        <v>1500</v>
      </c>
      <c r="T63" s="50"/>
      <c r="U63" s="42">
        <f t="shared" si="9"/>
        <v>1000</v>
      </c>
      <c r="V63" s="44"/>
    </row>
    <row r="64" spans="1:22" x14ac:dyDescent="0.3">
      <c r="A64" s="34" t="s">
        <v>351</v>
      </c>
      <c r="B64" s="34" t="s">
        <v>215</v>
      </c>
      <c r="C64" s="35" t="s">
        <v>117</v>
      </c>
      <c r="D64" s="35" t="s">
        <v>208</v>
      </c>
      <c r="E64" s="35">
        <v>3000</v>
      </c>
      <c r="F64" s="35">
        <v>1500</v>
      </c>
      <c r="G64" s="35">
        <v>1200</v>
      </c>
      <c r="H64" s="34" t="s">
        <v>351</v>
      </c>
      <c r="I64" s="34" t="s">
        <v>151</v>
      </c>
      <c r="J64" s="36">
        <v>1394109</v>
      </c>
      <c r="K64" s="36">
        <v>153.25099814340021</v>
      </c>
      <c r="L64" s="37">
        <v>80</v>
      </c>
      <c r="M64" s="38">
        <f t="shared" si="10"/>
        <v>1.394109</v>
      </c>
      <c r="N64" s="36">
        <f t="shared" si="11"/>
        <v>109.92755813455061</v>
      </c>
      <c r="O64" s="37">
        <f t="shared" si="12"/>
        <v>57.384322172799976</v>
      </c>
      <c r="P64" s="39"/>
      <c r="Q64" s="40" t="s">
        <v>208</v>
      </c>
      <c r="S64" s="42">
        <f t="shared" si="8"/>
        <v>1500</v>
      </c>
      <c r="T64" s="50"/>
      <c r="U64" s="42">
        <f t="shared" si="9"/>
        <v>1000</v>
      </c>
      <c r="V64" s="44"/>
    </row>
    <row r="65" spans="1:22" x14ac:dyDescent="0.3">
      <c r="A65" s="34" t="s">
        <v>352</v>
      </c>
      <c r="B65" s="34" t="s">
        <v>215</v>
      </c>
      <c r="C65" s="35" t="s">
        <v>118</v>
      </c>
      <c r="D65" s="35" t="s">
        <v>209</v>
      </c>
      <c r="E65" s="35">
        <v>1500</v>
      </c>
      <c r="F65" s="35">
        <v>1000</v>
      </c>
      <c r="G65" s="35">
        <v>800</v>
      </c>
      <c r="H65" s="34" t="s">
        <v>352</v>
      </c>
      <c r="I65" s="34" t="s">
        <v>151</v>
      </c>
      <c r="J65" s="36">
        <v>1612915</v>
      </c>
      <c r="K65" s="36">
        <v>81.516488374149063</v>
      </c>
      <c r="L65" s="37">
        <v>0</v>
      </c>
      <c r="M65" s="38">
        <f t="shared" si="10"/>
        <v>1.6129150000000001</v>
      </c>
      <c r="N65" s="36">
        <f t="shared" si="11"/>
        <v>50.539853851039304</v>
      </c>
      <c r="O65" s="37">
        <f t="shared" si="12"/>
        <v>0</v>
      </c>
      <c r="P65" s="39"/>
      <c r="Q65" s="40" t="s">
        <v>208</v>
      </c>
      <c r="S65" s="42">
        <f t="shared" si="8"/>
        <v>1500</v>
      </c>
      <c r="T65" s="50"/>
      <c r="U65" s="42">
        <f t="shared" si="9"/>
        <v>1000</v>
      </c>
      <c r="V65" s="44"/>
    </row>
    <row r="66" spans="1:22" x14ac:dyDescent="0.3">
      <c r="A66" s="34" t="s">
        <v>353</v>
      </c>
      <c r="B66" s="34" t="s">
        <v>215</v>
      </c>
      <c r="C66" s="35" t="s">
        <v>119</v>
      </c>
      <c r="D66" s="35" t="s">
        <v>209</v>
      </c>
      <c r="E66" s="35">
        <v>1500</v>
      </c>
      <c r="F66" s="35">
        <v>1000</v>
      </c>
      <c r="G66" s="35">
        <v>800</v>
      </c>
      <c r="H66" s="34" t="s">
        <v>353</v>
      </c>
      <c r="I66" s="34" t="s">
        <v>151</v>
      </c>
      <c r="J66" s="36">
        <v>2253312</v>
      </c>
      <c r="K66" s="36">
        <v>127.16572186367253</v>
      </c>
      <c r="L66" s="37">
        <v>247</v>
      </c>
      <c r="M66" s="38">
        <f t="shared" si="10"/>
        <v>2.2533120000000002</v>
      </c>
      <c r="N66" s="36">
        <f t="shared" si="11"/>
        <v>56.43502624744044</v>
      </c>
      <c r="O66" s="37">
        <f t="shared" si="12"/>
        <v>109.61642240399908</v>
      </c>
      <c r="P66" s="39"/>
      <c r="Q66" s="40" t="s">
        <v>208</v>
      </c>
      <c r="S66" s="42">
        <f t="shared" si="8"/>
        <v>1500</v>
      </c>
      <c r="T66" s="50"/>
      <c r="U66" s="42">
        <f t="shared" si="9"/>
        <v>1000</v>
      </c>
      <c r="V66" s="44"/>
    </row>
    <row r="67" spans="1:22" x14ac:dyDescent="0.3">
      <c r="A67" s="34" t="s">
        <v>354</v>
      </c>
      <c r="B67" s="34" t="s">
        <v>215</v>
      </c>
      <c r="C67" s="35" t="s">
        <v>120</v>
      </c>
      <c r="D67" s="35" t="s">
        <v>209</v>
      </c>
      <c r="E67" s="35">
        <v>1500</v>
      </c>
      <c r="F67" s="35">
        <v>1000</v>
      </c>
      <c r="G67" s="35">
        <v>800</v>
      </c>
      <c r="H67" s="34" t="s">
        <v>354</v>
      </c>
      <c r="I67" s="34" t="s">
        <v>151</v>
      </c>
      <c r="J67" s="36">
        <v>1570781</v>
      </c>
      <c r="K67" s="36">
        <v>133.68704093360444</v>
      </c>
      <c r="L67" s="37">
        <v>106</v>
      </c>
      <c r="M67" s="38">
        <f t="shared" si="10"/>
        <v>1.570781</v>
      </c>
      <c r="N67" s="36">
        <f t="shared" si="11"/>
        <v>85.108644001680972</v>
      </c>
      <c r="O67" s="37">
        <f t="shared" si="12"/>
        <v>67.482354319284482</v>
      </c>
      <c r="P67" s="39"/>
      <c r="Q67" s="40" t="s">
        <v>208</v>
      </c>
      <c r="S67" s="42">
        <f t="shared" si="8"/>
        <v>1500</v>
      </c>
      <c r="T67" s="50"/>
      <c r="U67" s="42">
        <f t="shared" si="9"/>
        <v>1000</v>
      </c>
      <c r="V67" s="44"/>
    </row>
    <row r="68" spans="1:22" x14ac:dyDescent="0.3">
      <c r="A68" s="34" t="s">
        <v>355</v>
      </c>
      <c r="B68" s="34" t="s">
        <v>215</v>
      </c>
      <c r="C68" s="35" t="s">
        <v>121</v>
      </c>
      <c r="D68" s="35" t="s">
        <v>208</v>
      </c>
      <c r="E68" s="35">
        <v>3000</v>
      </c>
      <c r="F68" s="35">
        <v>1500</v>
      </c>
      <c r="G68" s="35">
        <v>1200</v>
      </c>
      <c r="H68" s="34" t="s">
        <v>355</v>
      </c>
      <c r="I68" s="34" t="s">
        <v>151</v>
      </c>
      <c r="J68" s="36">
        <v>2704761</v>
      </c>
      <c r="K68" s="36">
        <v>0</v>
      </c>
      <c r="L68" s="37">
        <v>0</v>
      </c>
      <c r="M68" s="38">
        <f t="shared" si="10"/>
        <v>2.704761</v>
      </c>
      <c r="N68" s="36">
        <f t="shared" si="11"/>
        <v>0</v>
      </c>
      <c r="O68" s="37">
        <f t="shared" si="12"/>
        <v>0</v>
      </c>
      <c r="P68" s="39"/>
      <c r="Q68" s="40" t="s">
        <v>208</v>
      </c>
      <c r="S68" s="42">
        <f t="shared" si="8"/>
        <v>1500</v>
      </c>
      <c r="T68" s="50"/>
      <c r="U68" s="42">
        <f t="shared" si="9"/>
        <v>1000</v>
      </c>
      <c r="V68" s="44"/>
    </row>
    <row r="69" spans="1:22" x14ac:dyDescent="0.3">
      <c r="A69" s="34" t="s">
        <v>356</v>
      </c>
      <c r="B69" s="34" t="s">
        <v>215</v>
      </c>
      <c r="C69" s="35" t="s">
        <v>122</v>
      </c>
      <c r="D69" s="35" t="s">
        <v>208</v>
      </c>
      <c r="E69" s="35">
        <v>3000</v>
      </c>
      <c r="F69" s="35">
        <v>1500</v>
      </c>
      <c r="G69" s="35">
        <v>1200</v>
      </c>
      <c r="H69" s="34" t="s">
        <v>356</v>
      </c>
      <c r="I69" s="34" t="s">
        <v>151</v>
      </c>
      <c r="J69" s="36">
        <v>511095</v>
      </c>
      <c r="K69" s="36">
        <v>16.303297674829814</v>
      </c>
      <c r="L69" s="37">
        <v>7</v>
      </c>
      <c r="M69" s="38">
        <f t="shared" si="10"/>
        <v>0.51109499999999997</v>
      </c>
      <c r="N69" s="36">
        <f t="shared" si="11"/>
        <v>31.898761824768027</v>
      </c>
      <c r="O69" s="37">
        <f t="shared" si="12"/>
        <v>13.696083898296795</v>
      </c>
      <c r="P69" s="39"/>
      <c r="Q69" s="40" t="s">
        <v>208</v>
      </c>
      <c r="S69" s="42">
        <f t="shared" si="8"/>
        <v>1500</v>
      </c>
      <c r="T69" s="50"/>
      <c r="U69" s="42">
        <f t="shared" si="9"/>
        <v>1000</v>
      </c>
      <c r="V69" s="44"/>
    </row>
    <row r="70" spans="1:22" x14ac:dyDescent="0.3">
      <c r="A70" s="34" t="s">
        <v>357</v>
      </c>
      <c r="B70" s="34" t="s">
        <v>216</v>
      </c>
      <c r="C70" s="35" t="s">
        <v>123</v>
      </c>
      <c r="D70" s="35" t="s">
        <v>208</v>
      </c>
      <c r="E70" s="35">
        <v>3000</v>
      </c>
      <c r="F70" s="35">
        <v>1500</v>
      </c>
      <c r="G70" s="35">
        <v>1200</v>
      </c>
      <c r="H70" s="34" t="s">
        <v>357</v>
      </c>
      <c r="I70" s="34" t="s">
        <v>151</v>
      </c>
      <c r="J70" s="38">
        <v>1640897</v>
      </c>
      <c r="K70" s="36">
        <v>140.20836000353637</v>
      </c>
      <c r="L70" s="37">
        <v>76</v>
      </c>
      <c r="M70" s="38">
        <f t="shared" ref="M70:M92" si="13">J70/1000000</f>
        <v>1.640897</v>
      </c>
      <c r="N70" s="36">
        <f t="shared" ref="N70:N92" si="14">K70/M70</f>
        <v>85.446167555633508</v>
      </c>
      <c r="O70" s="37">
        <f t="shared" ref="O70:O92" si="15">L70/M70</f>
        <v>46.316130750437104</v>
      </c>
      <c r="P70" s="39"/>
      <c r="Q70" s="40" t="s">
        <v>207</v>
      </c>
      <c r="R70" s="41"/>
      <c r="S70" s="42">
        <f t="shared" si="8"/>
        <v>3500</v>
      </c>
      <c r="T70" s="43"/>
      <c r="U70" s="42">
        <f t="shared" si="9"/>
        <v>1750</v>
      </c>
      <c r="V70" s="44"/>
    </row>
    <row r="71" spans="1:22" x14ac:dyDescent="0.3">
      <c r="A71" s="34" t="s">
        <v>358</v>
      </c>
      <c r="B71" s="34" t="s">
        <v>216</v>
      </c>
      <c r="C71" s="35" t="s">
        <v>124</v>
      </c>
      <c r="D71" s="35" t="s">
        <v>208</v>
      </c>
      <c r="E71" s="35">
        <v>3000</v>
      </c>
      <c r="F71" s="35">
        <v>1500</v>
      </c>
      <c r="G71" s="35">
        <v>1200</v>
      </c>
      <c r="H71" s="34" t="s">
        <v>358</v>
      </c>
      <c r="I71" s="34" t="s">
        <v>151</v>
      </c>
      <c r="J71" s="38">
        <v>737016</v>
      </c>
      <c r="K71" s="36">
        <v>13.042638139863849</v>
      </c>
      <c r="L71" s="37">
        <v>0</v>
      </c>
      <c r="M71" s="38">
        <f t="shared" si="13"/>
        <v>0.737016</v>
      </c>
      <c r="N71" s="36">
        <f t="shared" si="14"/>
        <v>17.696546804769298</v>
      </c>
      <c r="O71" s="37">
        <f t="shared" si="15"/>
        <v>0</v>
      </c>
      <c r="P71" s="39"/>
      <c r="Q71" s="40" t="s">
        <v>207</v>
      </c>
      <c r="R71" s="41"/>
      <c r="S71" s="42">
        <f t="shared" si="8"/>
        <v>3500</v>
      </c>
      <c r="T71" s="43"/>
      <c r="U71" s="42">
        <f t="shared" si="9"/>
        <v>1750</v>
      </c>
      <c r="V71" s="44"/>
    </row>
    <row r="72" spans="1:22" x14ac:dyDescent="0.3">
      <c r="A72" s="34" t="s">
        <v>359</v>
      </c>
      <c r="B72" s="34" t="s">
        <v>216</v>
      </c>
      <c r="C72" s="35" t="s">
        <v>125</v>
      </c>
      <c r="D72" s="35" t="s">
        <v>208</v>
      </c>
      <c r="E72" s="35">
        <v>3000</v>
      </c>
      <c r="F72" s="35">
        <v>1500</v>
      </c>
      <c r="G72" s="35">
        <v>1200</v>
      </c>
      <c r="H72" s="34" t="s">
        <v>359</v>
      </c>
      <c r="I72" s="34" t="s">
        <v>151</v>
      </c>
      <c r="J72" s="38">
        <v>337172</v>
      </c>
      <c r="K72" s="36">
        <v>120.64440279374061</v>
      </c>
      <c r="L72" s="37">
        <v>82</v>
      </c>
      <c r="M72" s="38">
        <f t="shared" si="13"/>
        <v>0.33717200000000003</v>
      </c>
      <c r="N72" s="36">
        <f t="shared" si="14"/>
        <v>357.81263804153548</v>
      </c>
      <c r="O72" s="37">
        <f t="shared" si="15"/>
        <v>243.19931666923705</v>
      </c>
      <c r="P72" s="39"/>
      <c r="Q72" s="40" t="s">
        <v>208</v>
      </c>
      <c r="S72" s="42">
        <f t="shared" si="8"/>
        <v>1500</v>
      </c>
      <c r="T72" s="50"/>
      <c r="U72" s="42">
        <f t="shared" si="9"/>
        <v>1000</v>
      </c>
      <c r="V72" s="44"/>
    </row>
    <row r="73" spans="1:22" x14ac:dyDescent="0.3">
      <c r="A73" s="34" t="s">
        <v>360</v>
      </c>
      <c r="B73" s="34" t="s">
        <v>216</v>
      </c>
      <c r="C73" s="35" t="s">
        <v>126</v>
      </c>
      <c r="D73" s="35" t="s">
        <v>209</v>
      </c>
      <c r="E73" s="35">
        <v>1500</v>
      </c>
      <c r="F73" s="35">
        <v>1000</v>
      </c>
      <c r="G73" s="35">
        <v>800</v>
      </c>
      <c r="H73" s="34" t="s">
        <v>360</v>
      </c>
      <c r="I73" s="34" t="s">
        <v>151</v>
      </c>
      <c r="J73" s="38">
        <v>855398</v>
      </c>
      <c r="K73" s="36">
        <v>0</v>
      </c>
      <c r="L73" s="37">
        <v>0</v>
      </c>
      <c r="M73" s="38">
        <f t="shared" si="13"/>
        <v>0.85539799999999999</v>
      </c>
      <c r="N73" s="36">
        <f t="shared" si="14"/>
        <v>0</v>
      </c>
      <c r="O73" s="37">
        <f t="shared" si="15"/>
        <v>0</v>
      </c>
      <c r="P73" s="39"/>
      <c r="Q73" s="40" t="s">
        <v>208</v>
      </c>
      <c r="S73" s="42">
        <f t="shared" ref="S73:S92" si="16">VLOOKUP(Q73,$X$13:$AA$17,3,0)</f>
        <v>1500</v>
      </c>
      <c r="T73" s="50"/>
      <c r="U73" s="42">
        <f t="shared" ref="U73:U92" si="17">VLOOKUP(Q73,$X$13:$AA$17,4,0)</f>
        <v>1000</v>
      </c>
      <c r="V73" s="44"/>
    </row>
    <row r="74" spans="1:22" x14ac:dyDescent="0.3">
      <c r="A74" s="34" t="s">
        <v>361</v>
      </c>
      <c r="B74" s="34" t="s">
        <v>216</v>
      </c>
      <c r="C74" s="35" t="s">
        <v>127</v>
      </c>
      <c r="D74" s="35" t="s">
        <v>208</v>
      </c>
      <c r="E74" s="35">
        <v>3000</v>
      </c>
      <c r="F74" s="35">
        <v>1500</v>
      </c>
      <c r="G74" s="35">
        <v>1200</v>
      </c>
      <c r="H74" s="34" t="s">
        <v>361</v>
      </c>
      <c r="I74" s="34" t="s">
        <v>151</v>
      </c>
      <c r="J74" s="38">
        <v>494435</v>
      </c>
      <c r="K74" s="36">
        <v>0</v>
      </c>
      <c r="L74" s="37">
        <v>0</v>
      </c>
      <c r="M74" s="38">
        <f t="shared" si="13"/>
        <v>0.49443500000000001</v>
      </c>
      <c r="N74" s="36">
        <f t="shared" si="14"/>
        <v>0</v>
      </c>
      <c r="O74" s="37">
        <f t="shared" si="15"/>
        <v>0</v>
      </c>
      <c r="P74" s="39"/>
      <c r="Q74" s="40" t="s">
        <v>208</v>
      </c>
      <c r="S74" s="42">
        <f t="shared" si="16"/>
        <v>1500</v>
      </c>
      <c r="T74" s="50"/>
      <c r="U74" s="42">
        <f t="shared" si="17"/>
        <v>1000</v>
      </c>
      <c r="V74" s="44"/>
    </row>
    <row r="75" spans="1:22" x14ac:dyDescent="0.3">
      <c r="A75" s="34" t="s">
        <v>362</v>
      </c>
      <c r="B75" s="34" t="s">
        <v>216</v>
      </c>
      <c r="C75" s="35" t="s">
        <v>128</v>
      </c>
      <c r="D75" s="35" t="s">
        <v>209</v>
      </c>
      <c r="E75" s="35">
        <v>1500</v>
      </c>
      <c r="F75" s="35">
        <v>1000</v>
      </c>
      <c r="G75" s="35">
        <v>800</v>
      </c>
      <c r="H75" s="34" t="s">
        <v>362</v>
      </c>
      <c r="I75" s="34" t="s">
        <v>151</v>
      </c>
      <c r="J75" s="38">
        <v>983474</v>
      </c>
      <c r="K75" s="36">
        <v>0</v>
      </c>
      <c r="L75" s="37">
        <v>0</v>
      </c>
      <c r="M75" s="38">
        <f t="shared" si="13"/>
        <v>0.98347399999999996</v>
      </c>
      <c r="N75" s="36">
        <f t="shared" si="14"/>
        <v>0</v>
      </c>
      <c r="O75" s="37">
        <f t="shared" si="15"/>
        <v>0</v>
      </c>
      <c r="P75" s="39"/>
      <c r="Q75" s="40" t="s">
        <v>208</v>
      </c>
      <c r="S75" s="42">
        <f t="shared" si="16"/>
        <v>1500</v>
      </c>
      <c r="T75" s="50"/>
      <c r="U75" s="42">
        <f t="shared" si="17"/>
        <v>1000</v>
      </c>
      <c r="V75" s="44"/>
    </row>
    <row r="76" spans="1:22" x14ac:dyDescent="0.3">
      <c r="A76" s="34" t="s">
        <v>363</v>
      </c>
      <c r="B76" s="34" t="s">
        <v>216</v>
      </c>
      <c r="C76" s="35" t="s">
        <v>129</v>
      </c>
      <c r="D76" s="35" t="s">
        <v>208</v>
      </c>
      <c r="E76" s="35">
        <v>3000</v>
      </c>
      <c r="F76" s="35">
        <v>1500</v>
      </c>
      <c r="G76" s="35">
        <v>1200</v>
      </c>
      <c r="H76" s="34" t="s">
        <v>363</v>
      </c>
      <c r="I76" s="34" t="s">
        <v>151</v>
      </c>
      <c r="J76" s="38">
        <v>1224649</v>
      </c>
      <c r="K76" s="36">
        <v>42.388573954557508</v>
      </c>
      <c r="L76" s="37">
        <v>33</v>
      </c>
      <c r="M76" s="38">
        <f t="shared" si="13"/>
        <v>1.2246490000000001</v>
      </c>
      <c r="N76" s="36">
        <f t="shared" si="14"/>
        <v>34.612835150771772</v>
      </c>
      <c r="O76" s="37">
        <f t="shared" si="15"/>
        <v>26.946496506345898</v>
      </c>
      <c r="P76" s="39"/>
      <c r="Q76" s="40" t="s">
        <v>208</v>
      </c>
      <c r="S76" s="42">
        <f t="shared" si="16"/>
        <v>1500</v>
      </c>
      <c r="T76" s="50"/>
      <c r="U76" s="42">
        <f t="shared" si="17"/>
        <v>1000</v>
      </c>
      <c r="V76" s="44"/>
    </row>
    <row r="77" spans="1:22" x14ac:dyDescent="0.3">
      <c r="A77" s="34" t="s">
        <v>364</v>
      </c>
      <c r="B77" s="34" t="s">
        <v>216</v>
      </c>
      <c r="C77" s="35" t="s">
        <v>130</v>
      </c>
      <c r="D77" s="35" t="s">
        <v>208</v>
      </c>
      <c r="E77" s="35">
        <v>3000</v>
      </c>
      <c r="F77" s="35">
        <v>1500</v>
      </c>
      <c r="G77" s="35">
        <v>1200</v>
      </c>
      <c r="H77" s="34" t="s">
        <v>364</v>
      </c>
      <c r="I77" s="34" t="s">
        <v>151</v>
      </c>
      <c r="J77" s="38">
        <v>890009</v>
      </c>
      <c r="K77" s="36">
        <v>0</v>
      </c>
      <c r="L77" s="37">
        <v>0</v>
      </c>
      <c r="M77" s="38">
        <f t="shared" si="13"/>
        <v>0.89000900000000005</v>
      </c>
      <c r="N77" s="36">
        <f t="shared" si="14"/>
        <v>0</v>
      </c>
      <c r="O77" s="37">
        <f t="shared" si="15"/>
        <v>0</v>
      </c>
      <c r="P77" s="39"/>
      <c r="Q77" s="40" t="s">
        <v>208</v>
      </c>
      <c r="S77" s="42">
        <f t="shared" si="16"/>
        <v>1500</v>
      </c>
      <c r="T77" s="50"/>
      <c r="U77" s="42">
        <f t="shared" si="17"/>
        <v>1000</v>
      </c>
      <c r="V77" s="44"/>
    </row>
    <row r="78" spans="1:22" x14ac:dyDescent="0.3">
      <c r="A78" s="34" t="s">
        <v>365</v>
      </c>
      <c r="B78" s="34" t="s">
        <v>216</v>
      </c>
      <c r="C78" s="35" t="s">
        <v>131</v>
      </c>
      <c r="D78" s="35" t="s">
        <v>209</v>
      </c>
      <c r="E78" s="35">
        <v>1500</v>
      </c>
      <c r="F78" s="35">
        <v>1000</v>
      </c>
      <c r="G78" s="35">
        <v>800</v>
      </c>
      <c r="H78" s="34" t="s">
        <v>365</v>
      </c>
      <c r="I78" s="34" t="s">
        <v>151</v>
      </c>
      <c r="J78" s="38">
        <v>2428109</v>
      </c>
      <c r="K78" s="36">
        <v>0</v>
      </c>
      <c r="L78" s="37">
        <v>0</v>
      </c>
      <c r="M78" s="38">
        <f t="shared" si="13"/>
        <v>2.4281090000000001</v>
      </c>
      <c r="N78" s="36">
        <f t="shared" si="14"/>
        <v>0</v>
      </c>
      <c r="O78" s="37">
        <f t="shared" si="15"/>
        <v>0</v>
      </c>
      <c r="P78" s="39"/>
      <c r="Q78" s="40" t="s">
        <v>208</v>
      </c>
      <c r="S78" s="42">
        <f t="shared" si="16"/>
        <v>1500</v>
      </c>
      <c r="T78" s="50"/>
      <c r="U78" s="42">
        <f t="shared" si="17"/>
        <v>1000</v>
      </c>
      <c r="V78" s="44"/>
    </row>
    <row r="79" spans="1:22" x14ac:dyDescent="0.3">
      <c r="A79" s="34" t="s">
        <v>366</v>
      </c>
      <c r="B79" s="34" t="s">
        <v>216</v>
      </c>
      <c r="C79" s="35" t="s">
        <v>132</v>
      </c>
      <c r="D79" s="35" t="s">
        <v>209</v>
      </c>
      <c r="E79" s="35">
        <v>1500</v>
      </c>
      <c r="F79" s="35">
        <v>1000</v>
      </c>
      <c r="G79" s="35">
        <v>800</v>
      </c>
      <c r="H79" s="34" t="s">
        <v>366</v>
      </c>
      <c r="I79" s="34" t="s">
        <v>151</v>
      </c>
      <c r="J79" s="38">
        <v>5041223</v>
      </c>
      <c r="K79" s="36">
        <v>39.127914419591548</v>
      </c>
      <c r="L79" s="37">
        <v>7</v>
      </c>
      <c r="M79" s="38">
        <f t="shared" si="13"/>
        <v>5.0412229999999996</v>
      </c>
      <c r="N79" s="36">
        <f t="shared" si="14"/>
        <v>7.7615916652747856</v>
      </c>
      <c r="O79" s="37">
        <f t="shared" si="15"/>
        <v>1.3885519446372439</v>
      </c>
      <c r="P79" s="39"/>
      <c r="Q79" s="40" t="s">
        <v>208</v>
      </c>
      <c r="S79" s="42">
        <f t="shared" si="16"/>
        <v>1500</v>
      </c>
      <c r="T79" s="50"/>
      <c r="U79" s="42">
        <f t="shared" si="17"/>
        <v>1000</v>
      </c>
      <c r="V79" s="44"/>
    </row>
    <row r="80" spans="1:22" x14ac:dyDescent="0.3">
      <c r="A80" s="34" t="s">
        <v>367</v>
      </c>
      <c r="B80" s="34" t="s">
        <v>216</v>
      </c>
      <c r="C80" s="35" t="s">
        <v>133</v>
      </c>
      <c r="D80" s="35" t="s">
        <v>209</v>
      </c>
      <c r="E80" s="35">
        <v>1500</v>
      </c>
      <c r="F80" s="35">
        <v>1000</v>
      </c>
      <c r="G80" s="35">
        <v>800</v>
      </c>
      <c r="H80" s="34" t="s">
        <v>367</v>
      </c>
      <c r="I80" s="34" t="s">
        <v>151</v>
      </c>
      <c r="J80" s="38">
        <v>826836</v>
      </c>
      <c r="K80" s="36">
        <v>6.5213190699319243</v>
      </c>
      <c r="L80" s="37">
        <v>11</v>
      </c>
      <c r="M80" s="38">
        <f t="shared" si="13"/>
        <v>0.82683600000000002</v>
      </c>
      <c r="N80" s="36">
        <f t="shared" si="14"/>
        <v>7.8870768446607604</v>
      </c>
      <c r="O80" s="37">
        <f t="shared" si="15"/>
        <v>13.303726494734143</v>
      </c>
      <c r="P80" s="39"/>
      <c r="Q80" s="40" t="s">
        <v>209</v>
      </c>
      <c r="R80" s="53"/>
      <c r="S80" s="42">
        <f t="shared" si="16"/>
        <v>1000</v>
      </c>
      <c r="T80" s="43"/>
      <c r="U80" s="42">
        <f t="shared" si="17"/>
        <v>800</v>
      </c>
      <c r="V80" s="44"/>
    </row>
    <row r="81" spans="1:22" x14ac:dyDescent="0.3">
      <c r="A81" s="34" t="s">
        <v>368</v>
      </c>
      <c r="B81" s="34" t="s">
        <v>216</v>
      </c>
      <c r="C81" s="35" t="s">
        <v>134</v>
      </c>
      <c r="D81" s="35" t="s">
        <v>209</v>
      </c>
      <c r="E81" s="35">
        <v>1500</v>
      </c>
      <c r="F81" s="35">
        <v>1000</v>
      </c>
      <c r="G81" s="35">
        <v>800</v>
      </c>
      <c r="H81" s="34" t="s">
        <v>368</v>
      </c>
      <c r="I81" s="34" t="s">
        <v>151</v>
      </c>
      <c r="J81" s="38">
        <v>879155</v>
      </c>
      <c r="K81" s="36">
        <v>32.606595349659628</v>
      </c>
      <c r="L81" s="37">
        <v>42</v>
      </c>
      <c r="M81" s="38">
        <f t="shared" si="13"/>
        <v>0.87915500000000002</v>
      </c>
      <c r="N81" s="36">
        <f t="shared" si="14"/>
        <v>37.088562710397632</v>
      </c>
      <c r="O81" s="37">
        <f t="shared" si="15"/>
        <v>47.773145804778451</v>
      </c>
      <c r="P81" s="39"/>
      <c r="Q81" s="40" t="s">
        <v>209</v>
      </c>
      <c r="R81" s="53"/>
      <c r="S81" s="42">
        <f t="shared" si="16"/>
        <v>1000</v>
      </c>
      <c r="T81" s="43"/>
      <c r="U81" s="42">
        <f t="shared" si="17"/>
        <v>800</v>
      </c>
      <c r="V81" s="44"/>
    </row>
    <row r="82" spans="1:22" x14ac:dyDescent="0.3">
      <c r="A82" s="34" t="s">
        <v>369</v>
      </c>
      <c r="B82" s="34" t="s">
        <v>216</v>
      </c>
      <c r="C82" s="35" t="s">
        <v>135</v>
      </c>
      <c r="D82" s="35" t="s">
        <v>209</v>
      </c>
      <c r="E82" s="35">
        <v>1500</v>
      </c>
      <c r="F82" s="35">
        <v>1000</v>
      </c>
      <c r="G82" s="35">
        <v>800</v>
      </c>
      <c r="H82" s="34" t="s">
        <v>369</v>
      </c>
      <c r="I82" s="34" t="s">
        <v>151</v>
      </c>
      <c r="J82" s="38">
        <v>1285821</v>
      </c>
      <c r="K82" s="36">
        <v>71.734509769251176</v>
      </c>
      <c r="L82" s="37">
        <v>54</v>
      </c>
      <c r="M82" s="38">
        <f t="shared" si="13"/>
        <v>1.2858210000000001</v>
      </c>
      <c r="N82" s="36">
        <f t="shared" si="14"/>
        <v>55.788877121505379</v>
      </c>
      <c r="O82" s="37">
        <f t="shared" si="15"/>
        <v>41.996514289313986</v>
      </c>
      <c r="P82" s="39"/>
      <c r="Q82" s="40" t="s">
        <v>209</v>
      </c>
      <c r="R82" s="53"/>
      <c r="S82" s="42">
        <f t="shared" si="16"/>
        <v>1000</v>
      </c>
      <c r="T82" s="43"/>
      <c r="U82" s="42">
        <f t="shared" si="17"/>
        <v>800</v>
      </c>
      <c r="V82" s="44"/>
    </row>
    <row r="83" spans="1:22" x14ac:dyDescent="0.3">
      <c r="A83" s="34" t="s">
        <v>370</v>
      </c>
      <c r="B83" s="34" t="s">
        <v>216</v>
      </c>
      <c r="C83" s="35" t="s">
        <v>136</v>
      </c>
      <c r="D83" s="35" t="s">
        <v>209</v>
      </c>
      <c r="E83" s="35">
        <v>1500</v>
      </c>
      <c r="F83" s="35">
        <v>1000</v>
      </c>
      <c r="G83" s="35">
        <v>800</v>
      </c>
      <c r="H83" s="34" t="s">
        <v>370</v>
      </c>
      <c r="I83" s="34" t="s">
        <v>151</v>
      </c>
      <c r="J83" s="38">
        <v>1505162</v>
      </c>
      <c r="K83" s="36">
        <v>0</v>
      </c>
      <c r="L83" s="37">
        <v>0</v>
      </c>
      <c r="M83" s="38">
        <f t="shared" si="13"/>
        <v>1.5051620000000001</v>
      </c>
      <c r="N83" s="36">
        <f t="shared" si="14"/>
        <v>0</v>
      </c>
      <c r="O83" s="37">
        <f t="shared" si="15"/>
        <v>0</v>
      </c>
      <c r="P83" s="39"/>
      <c r="Q83" s="40" t="s">
        <v>209</v>
      </c>
      <c r="R83" s="53"/>
      <c r="S83" s="42">
        <f t="shared" si="16"/>
        <v>1000</v>
      </c>
      <c r="T83" s="43"/>
      <c r="U83" s="42">
        <f t="shared" si="17"/>
        <v>800</v>
      </c>
      <c r="V83" s="44"/>
    </row>
    <row r="84" spans="1:22" x14ac:dyDescent="0.3">
      <c r="A84" s="34" t="s">
        <v>371</v>
      </c>
      <c r="B84" s="34" t="s">
        <v>216</v>
      </c>
      <c r="C84" s="35" t="s">
        <v>137</v>
      </c>
      <c r="D84" s="35" t="s">
        <v>208</v>
      </c>
      <c r="E84" s="35">
        <v>3000</v>
      </c>
      <c r="F84" s="35">
        <v>1500</v>
      </c>
      <c r="G84" s="35">
        <v>1200</v>
      </c>
      <c r="H84" s="34" t="s">
        <v>371</v>
      </c>
      <c r="I84" s="34" t="s">
        <v>151</v>
      </c>
      <c r="J84" s="38">
        <v>3044706</v>
      </c>
      <c r="K84" s="36">
        <v>26.085276279727697</v>
      </c>
      <c r="L84" s="37">
        <v>6</v>
      </c>
      <c r="M84" s="38">
        <f t="shared" si="13"/>
        <v>3.0447060000000001</v>
      </c>
      <c r="N84" s="36">
        <f t="shared" si="14"/>
        <v>8.5674203945233778</v>
      </c>
      <c r="O84" s="37">
        <f t="shared" si="15"/>
        <v>1.97063361782714</v>
      </c>
      <c r="P84" s="39"/>
      <c r="Q84" s="40" t="s">
        <v>207</v>
      </c>
      <c r="R84" s="41"/>
      <c r="S84" s="42">
        <f t="shared" si="16"/>
        <v>3500</v>
      </c>
      <c r="T84" s="43"/>
      <c r="U84" s="42">
        <f t="shared" si="17"/>
        <v>1750</v>
      </c>
      <c r="V84" s="44"/>
    </row>
    <row r="85" spans="1:22" x14ac:dyDescent="0.3">
      <c r="A85" s="34" t="s">
        <v>372</v>
      </c>
      <c r="B85" s="34" t="s">
        <v>217</v>
      </c>
      <c r="C85" s="35" t="s">
        <v>138</v>
      </c>
      <c r="D85" s="35" t="s">
        <v>206</v>
      </c>
      <c r="E85" s="35">
        <v>6000</v>
      </c>
      <c r="F85" s="35">
        <v>4500</v>
      </c>
      <c r="G85" s="35">
        <v>3500</v>
      </c>
      <c r="H85" s="34" t="s">
        <v>372</v>
      </c>
      <c r="I85" s="34" t="s">
        <v>151</v>
      </c>
      <c r="J85" s="38">
        <v>3685483</v>
      </c>
      <c r="K85" s="36">
        <v>146.7296790734683</v>
      </c>
      <c r="L85" s="37">
        <v>51</v>
      </c>
      <c r="M85" s="38">
        <f t="shared" si="13"/>
        <v>3.6854830000000001</v>
      </c>
      <c r="N85" s="36">
        <f t="shared" si="14"/>
        <v>39.812876378338551</v>
      </c>
      <c r="O85" s="37">
        <f t="shared" si="15"/>
        <v>13.838077668517261</v>
      </c>
      <c r="P85" s="39"/>
      <c r="Q85" s="40" t="s">
        <v>206</v>
      </c>
      <c r="S85" s="42">
        <f t="shared" si="16"/>
        <v>6000</v>
      </c>
      <c r="T85" s="50"/>
      <c r="U85" s="42">
        <f t="shared" si="17"/>
        <v>3000</v>
      </c>
      <c r="V85" s="44"/>
    </row>
    <row r="86" spans="1:22" x14ac:dyDescent="0.3">
      <c r="A86" s="34" t="s">
        <v>373</v>
      </c>
      <c r="B86" s="34" t="s">
        <v>217</v>
      </c>
      <c r="C86" s="35" t="s">
        <v>139</v>
      </c>
      <c r="D86" s="35" t="s">
        <v>208</v>
      </c>
      <c r="E86" s="35">
        <v>3000</v>
      </c>
      <c r="F86" s="35">
        <v>1500</v>
      </c>
      <c r="G86" s="35">
        <v>1200</v>
      </c>
      <c r="H86" s="34" t="s">
        <v>373</v>
      </c>
      <c r="I86" s="34" t="s">
        <v>151</v>
      </c>
      <c r="J86" s="38">
        <v>653498</v>
      </c>
      <c r="K86" s="36">
        <v>378.23650605605161</v>
      </c>
      <c r="L86" s="37">
        <v>229</v>
      </c>
      <c r="M86" s="38">
        <f t="shared" si="13"/>
        <v>0.65349800000000002</v>
      </c>
      <c r="N86" s="36">
        <f t="shared" si="14"/>
        <v>578.78754955034537</v>
      </c>
      <c r="O86" s="37">
        <f t="shared" si="15"/>
        <v>350.42188346406567</v>
      </c>
      <c r="P86" s="39"/>
      <c r="Q86" s="40" t="s">
        <v>207</v>
      </c>
      <c r="R86" s="41"/>
      <c r="S86" s="42">
        <f t="shared" si="16"/>
        <v>3500</v>
      </c>
      <c r="T86" s="43"/>
      <c r="U86" s="42">
        <f t="shared" si="17"/>
        <v>1750</v>
      </c>
      <c r="V86" s="44"/>
    </row>
    <row r="87" spans="1:22" x14ac:dyDescent="0.3">
      <c r="A87" s="34" t="s">
        <v>374</v>
      </c>
      <c r="B87" s="34" t="s">
        <v>217</v>
      </c>
      <c r="C87" s="35" t="s">
        <v>140</v>
      </c>
      <c r="D87" s="35" t="s">
        <v>208</v>
      </c>
      <c r="E87" s="35">
        <v>3000</v>
      </c>
      <c r="F87" s="35">
        <v>1500</v>
      </c>
      <c r="G87" s="35">
        <v>1200</v>
      </c>
      <c r="H87" s="34" t="s">
        <v>374</v>
      </c>
      <c r="I87" s="34" t="s">
        <v>151</v>
      </c>
      <c r="J87" s="38">
        <v>2543047</v>
      </c>
      <c r="K87" s="36">
        <v>0</v>
      </c>
      <c r="L87" s="37">
        <v>10</v>
      </c>
      <c r="M87" s="38">
        <f t="shared" si="13"/>
        <v>2.5430470000000001</v>
      </c>
      <c r="N87" s="36">
        <f t="shared" si="14"/>
        <v>0</v>
      </c>
      <c r="O87" s="37">
        <f t="shared" si="15"/>
        <v>3.9322906733536578</v>
      </c>
      <c r="P87" s="39"/>
      <c r="Q87" s="40" t="s">
        <v>207</v>
      </c>
      <c r="R87" s="41"/>
      <c r="S87" s="42">
        <f t="shared" si="16"/>
        <v>3500</v>
      </c>
      <c r="T87" s="43"/>
      <c r="U87" s="42">
        <f t="shared" si="17"/>
        <v>1750</v>
      </c>
      <c r="V87" s="44"/>
    </row>
    <row r="88" spans="1:22" x14ac:dyDescent="0.3">
      <c r="A88" s="34" t="s">
        <v>375</v>
      </c>
      <c r="B88" s="34" t="s">
        <v>217</v>
      </c>
      <c r="C88" s="35" t="s">
        <v>141</v>
      </c>
      <c r="D88" s="35" t="s">
        <v>209</v>
      </c>
      <c r="E88" s="35">
        <v>1500</v>
      </c>
      <c r="F88" s="35">
        <v>1000</v>
      </c>
      <c r="G88" s="35">
        <v>800</v>
      </c>
      <c r="H88" s="34" t="s">
        <v>375</v>
      </c>
      <c r="I88" s="34" t="s">
        <v>151</v>
      </c>
      <c r="J88" s="38">
        <v>177740</v>
      </c>
      <c r="K88" s="36">
        <v>120.64440279374061</v>
      </c>
      <c r="L88" s="37">
        <v>67</v>
      </c>
      <c r="M88" s="38">
        <f t="shared" si="13"/>
        <v>0.17774000000000001</v>
      </c>
      <c r="N88" s="36">
        <f t="shared" si="14"/>
        <v>678.76900412816815</v>
      </c>
      <c r="O88" s="37">
        <f t="shared" si="15"/>
        <v>376.95510295937885</v>
      </c>
      <c r="P88" s="39"/>
      <c r="Q88" s="40" t="s">
        <v>209</v>
      </c>
      <c r="R88" s="53"/>
      <c r="S88" s="42">
        <f t="shared" si="16"/>
        <v>1000</v>
      </c>
      <c r="T88" s="43"/>
      <c r="U88" s="42">
        <f t="shared" si="17"/>
        <v>800</v>
      </c>
      <c r="V88" s="44"/>
    </row>
    <row r="89" spans="1:22" x14ac:dyDescent="0.3">
      <c r="A89" s="34" t="s">
        <v>376</v>
      </c>
      <c r="B89" s="34" t="s">
        <v>217</v>
      </c>
      <c r="C89" s="35" t="s">
        <v>142</v>
      </c>
      <c r="D89" s="35" t="s">
        <v>209</v>
      </c>
      <c r="E89" s="35">
        <v>1500</v>
      </c>
      <c r="F89" s="35">
        <v>1000</v>
      </c>
      <c r="G89" s="35">
        <v>800</v>
      </c>
      <c r="H89" s="34" t="s">
        <v>376</v>
      </c>
      <c r="I89" s="34" t="s">
        <v>151</v>
      </c>
      <c r="J89" s="38">
        <v>1811508</v>
      </c>
      <c r="K89" s="36">
        <v>355.41188931128988</v>
      </c>
      <c r="L89" s="37">
        <v>260</v>
      </c>
      <c r="M89" s="38">
        <f t="shared" si="13"/>
        <v>1.8115079999999999</v>
      </c>
      <c r="N89" s="36">
        <f t="shared" si="14"/>
        <v>196.19669872354407</v>
      </c>
      <c r="O89" s="37">
        <f t="shared" si="15"/>
        <v>143.52682958065878</v>
      </c>
      <c r="P89" s="39"/>
      <c r="Q89" s="40" t="s">
        <v>208</v>
      </c>
      <c r="S89" s="42">
        <f t="shared" si="16"/>
        <v>1500</v>
      </c>
      <c r="T89" s="50"/>
      <c r="U89" s="42">
        <f t="shared" si="17"/>
        <v>1000</v>
      </c>
      <c r="V89" s="44"/>
    </row>
    <row r="90" spans="1:22" x14ac:dyDescent="0.3">
      <c r="A90" s="34" t="s">
        <v>377</v>
      </c>
      <c r="B90" s="34" t="s">
        <v>217</v>
      </c>
      <c r="C90" s="35" t="s">
        <v>143</v>
      </c>
      <c r="D90" s="35" t="s">
        <v>209</v>
      </c>
      <c r="E90" s="35">
        <v>1500</v>
      </c>
      <c r="F90" s="35">
        <v>1000</v>
      </c>
      <c r="G90" s="35">
        <v>800</v>
      </c>
      <c r="H90" s="34" t="s">
        <v>377</v>
      </c>
      <c r="I90" s="34" t="s">
        <v>151</v>
      </c>
      <c r="J90" s="38">
        <v>1365671</v>
      </c>
      <c r="K90" s="36">
        <v>789.07960746176286</v>
      </c>
      <c r="L90" s="37">
        <v>679</v>
      </c>
      <c r="M90" s="38">
        <f t="shared" si="13"/>
        <v>1.3656710000000001</v>
      </c>
      <c r="N90" s="36">
        <f t="shared" si="14"/>
        <v>577.79626825330763</v>
      </c>
      <c r="O90" s="37">
        <f t="shared" si="15"/>
        <v>497.19149048343263</v>
      </c>
      <c r="P90" s="39"/>
      <c r="Q90" s="40" t="s">
        <v>209</v>
      </c>
      <c r="R90" s="53"/>
      <c r="S90" s="42">
        <f t="shared" si="16"/>
        <v>1000</v>
      </c>
      <c r="T90" s="43"/>
      <c r="U90" s="42">
        <f t="shared" si="17"/>
        <v>800</v>
      </c>
      <c r="V90" s="44"/>
    </row>
    <row r="91" spans="1:22" x14ac:dyDescent="0.3">
      <c r="A91" s="34" t="s">
        <v>378</v>
      </c>
      <c r="B91" s="34" t="s">
        <v>217</v>
      </c>
      <c r="C91" s="35" t="s">
        <v>144</v>
      </c>
      <c r="D91" s="35" t="s">
        <v>209</v>
      </c>
      <c r="E91" s="35">
        <v>1500</v>
      </c>
      <c r="F91" s="35">
        <v>1000</v>
      </c>
      <c r="G91" s="35">
        <v>800</v>
      </c>
      <c r="H91" s="34" t="s">
        <v>378</v>
      </c>
      <c r="I91" s="34" t="s">
        <v>151</v>
      </c>
      <c r="J91" s="38">
        <v>1817623</v>
      </c>
      <c r="K91" s="36">
        <v>195.63957209795774</v>
      </c>
      <c r="L91" s="37">
        <v>169</v>
      </c>
      <c r="M91" s="38">
        <f t="shared" si="13"/>
        <v>1.817623</v>
      </c>
      <c r="N91" s="36">
        <f t="shared" si="14"/>
        <v>107.63484622386366</v>
      </c>
      <c r="O91" s="37">
        <f t="shared" si="15"/>
        <v>92.978576965630381</v>
      </c>
      <c r="P91" s="39"/>
      <c r="Q91" s="40" t="s">
        <v>208</v>
      </c>
      <c r="S91" s="42">
        <f t="shared" si="16"/>
        <v>1500</v>
      </c>
      <c r="T91" s="50"/>
      <c r="U91" s="42">
        <f t="shared" si="17"/>
        <v>1000</v>
      </c>
      <c r="V91" s="44"/>
    </row>
    <row r="92" spans="1:22" x14ac:dyDescent="0.3">
      <c r="A92" s="34" t="s">
        <v>379</v>
      </c>
      <c r="B92" s="34" t="s">
        <v>217</v>
      </c>
      <c r="C92" s="35" t="s">
        <v>145</v>
      </c>
      <c r="D92" s="35" t="s">
        <v>209</v>
      </c>
      <c r="E92" s="35">
        <v>1500</v>
      </c>
      <c r="F92" s="35">
        <v>1000</v>
      </c>
      <c r="G92" s="35">
        <v>800</v>
      </c>
      <c r="H92" s="34" t="s">
        <v>379</v>
      </c>
      <c r="I92" s="34" t="s">
        <v>151</v>
      </c>
      <c r="J92" s="38">
        <v>1202732</v>
      </c>
      <c r="K92" s="36">
        <v>198.90023163292372</v>
      </c>
      <c r="L92" s="37">
        <v>171</v>
      </c>
      <c r="M92" s="38">
        <f t="shared" si="13"/>
        <v>1.2027319999999999</v>
      </c>
      <c r="N92" s="36">
        <f t="shared" si="14"/>
        <v>165.37369225473648</v>
      </c>
      <c r="O92" s="37">
        <f t="shared" si="15"/>
        <v>142.17631192983976</v>
      </c>
      <c r="P92" s="39"/>
      <c r="Q92" s="40" t="s">
        <v>209</v>
      </c>
      <c r="R92" s="53"/>
      <c r="S92" s="42">
        <f t="shared" si="16"/>
        <v>1000</v>
      </c>
      <c r="T92" s="43"/>
      <c r="U92" s="42">
        <f t="shared" si="17"/>
        <v>800</v>
      </c>
      <c r="V92" s="44"/>
    </row>
    <row r="93" spans="1:22" x14ac:dyDescent="0.3">
      <c r="I93" s="72"/>
    </row>
  </sheetData>
  <mergeCells count="4">
    <mergeCell ref="Q2:Q3"/>
    <mergeCell ref="R2:U2"/>
    <mergeCell ref="R3:S3"/>
    <mergeCell ref="T3:U3"/>
  </mergeCells>
  <dataValidations count="1">
    <dataValidation type="list" allowBlank="1" showInputMessage="1" showErrorMessage="1" sqref="Q5:Q92">
      <formula1>$X$13:$X$17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topLeftCell="A70" workbookViewId="0">
      <selection activeCell="B53" sqref="B53:B61"/>
    </sheetView>
  </sheetViews>
  <sheetFormatPr defaultRowHeight="14.4" x14ac:dyDescent="0.3"/>
  <cols>
    <col min="1" max="1" width="4.5546875" bestFit="1" customWidth="1"/>
    <col min="2" max="2" width="20.33203125" bestFit="1" customWidth="1"/>
    <col min="3" max="3" width="12.109375" bestFit="1" customWidth="1"/>
    <col min="4" max="4" width="6" bestFit="1" customWidth="1"/>
    <col min="5" max="5" width="7.88671875" bestFit="1" customWidth="1"/>
    <col min="6" max="6" width="6.6640625" bestFit="1" customWidth="1"/>
    <col min="10" max="10" width="21.109375" customWidth="1"/>
  </cols>
  <sheetData>
    <row r="1" spans="1:14" ht="54" customHeight="1" x14ac:dyDescent="0.3">
      <c r="C1" s="474" t="s">
        <v>40</v>
      </c>
      <c r="D1" s="476" t="s">
        <v>259</v>
      </c>
      <c r="E1" s="477"/>
      <c r="F1" s="478"/>
    </row>
    <row r="2" spans="1:14" ht="15" thickBot="1" x14ac:dyDescent="0.35">
      <c r="A2" s="482" t="s">
        <v>260</v>
      </c>
      <c r="B2" s="483"/>
      <c r="C2" s="475"/>
      <c r="D2" s="479"/>
      <c r="E2" s="480"/>
      <c r="F2" s="481"/>
    </row>
    <row r="3" spans="1:14" x14ac:dyDescent="0.3">
      <c r="A3" s="484" t="s">
        <v>261</v>
      </c>
      <c r="B3" s="486" t="s">
        <v>262</v>
      </c>
      <c r="C3" s="488" t="s">
        <v>51</v>
      </c>
      <c r="D3" s="490" t="s">
        <v>263</v>
      </c>
      <c r="E3" s="491"/>
      <c r="F3" s="492"/>
      <c r="I3" s="484" t="s">
        <v>261</v>
      </c>
      <c r="J3" s="486" t="s">
        <v>262</v>
      </c>
      <c r="K3" s="488" t="s">
        <v>51</v>
      </c>
      <c r="L3" s="490" t="s">
        <v>263</v>
      </c>
      <c r="M3" s="491"/>
      <c r="N3" s="492"/>
    </row>
    <row r="4" spans="1:14" ht="15" thickBot="1" x14ac:dyDescent="0.35">
      <c r="A4" s="485"/>
      <c r="B4" s="487"/>
      <c r="C4" s="489"/>
      <c r="D4" s="170" t="s">
        <v>264</v>
      </c>
      <c r="E4" s="170" t="s">
        <v>265</v>
      </c>
      <c r="F4" s="171" t="s">
        <v>266</v>
      </c>
      <c r="I4" s="485"/>
      <c r="J4" s="487"/>
      <c r="K4" s="489"/>
      <c r="L4" s="170" t="s">
        <v>264</v>
      </c>
      <c r="M4" s="170" t="s">
        <v>265</v>
      </c>
      <c r="N4" s="171" t="s">
        <v>266</v>
      </c>
    </row>
    <row r="5" spans="1:14" ht="15" thickBot="1" x14ac:dyDescent="0.35">
      <c r="A5" s="172">
        <v>101</v>
      </c>
      <c r="B5" s="173" t="s">
        <v>55</v>
      </c>
      <c r="C5" s="174" t="s">
        <v>207</v>
      </c>
      <c r="D5" s="175">
        <v>3500</v>
      </c>
      <c r="E5" s="175">
        <v>2100</v>
      </c>
      <c r="F5" s="175">
        <v>1500</v>
      </c>
      <c r="I5" s="172">
        <v>101</v>
      </c>
      <c r="J5" s="173" t="s">
        <v>55</v>
      </c>
      <c r="K5" s="174" t="s">
        <v>207</v>
      </c>
      <c r="L5" s="175">
        <v>3500</v>
      </c>
      <c r="M5" s="175">
        <v>2100</v>
      </c>
      <c r="N5" s="175">
        <v>1500</v>
      </c>
    </row>
    <row r="6" spans="1:14" ht="15" thickBot="1" x14ac:dyDescent="0.35">
      <c r="A6" s="172">
        <v>102</v>
      </c>
      <c r="B6" s="173" t="s">
        <v>56</v>
      </c>
      <c r="C6" s="176" t="s">
        <v>207</v>
      </c>
      <c r="D6" s="175">
        <v>3500</v>
      </c>
      <c r="E6" s="175">
        <v>2100</v>
      </c>
      <c r="F6" s="175">
        <v>1500</v>
      </c>
      <c r="I6" s="172">
        <v>102</v>
      </c>
      <c r="J6" s="173" t="s">
        <v>56</v>
      </c>
      <c r="K6" s="176" t="s">
        <v>207</v>
      </c>
      <c r="L6" s="175">
        <v>3500</v>
      </c>
      <c r="M6" s="175">
        <v>2100</v>
      </c>
      <c r="N6" s="175">
        <v>1500</v>
      </c>
    </row>
    <row r="7" spans="1:14" ht="15" thickBot="1" x14ac:dyDescent="0.35">
      <c r="A7" s="172">
        <v>103</v>
      </c>
      <c r="B7" s="173" t="s">
        <v>57</v>
      </c>
      <c r="C7" s="176" t="s">
        <v>207</v>
      </c>
      <c r="D7" s="175">
        <v>3500</v>
      </c>
      <c r="E7" s="175">
        <v>2100</v>
      </c>
      <c r="F7" s="175">
        <v>1500</v>
      </c>
      <c r="I7" s="172">
        <v>103</v>
      </c>
      <c r="J7" s="173" t="s">
        <v>57</v>
      </c>
      <c r="K7" s="176" t="s">
        <v>207</v>
      </c>
      <c r="L7" s="175">
        <v>3500</v>
      </c>
      <c r="M7" s="175">
        <v>2100</v>
      </c>
      <c r="N7" s="175">
        <v>1500</v>
      </c>
    </row>
    <row r="8" spans="1:14" ht="15" thickBot="1" x14ac:dyDescent="0.35">
      <c r="A8" s="172">
        <v>104</v>
      </c>
      <c r="B8" s="173" t="s">
        <v>58</v>
      </c>
      <c r="C8" s="176" t="s">
        <v>207</v>
      </c>
      <c r="D8" s="175">
        <v>3500</v>
      </c>
      <c r="E8" s="175">
        <v>2100</v>
      </c>
      <c r="F8" s="175">
        <v>1500</v>
      </c>
      <c r="I8" s="172">
        <v>104</v>
      </c>
      <c r="J8" s="173" t="s">
        <v>58</v>
      </c>
      <c r="K8" s="176" t="s">
        <v>207</v>
      </c>
      <c r="L8" s="175">
        <v>3500</v>
      </c>
      <c r="M8" s="175">
        <v>2100</v>
      </c>
      <c r="N8" s="175">
        <v>1500</v>
      </c>
    </row>
    <row r="9" spans="1:14" ht="15" thickBot="1" x14ac:dyDescent="0.35">
      <c r="A9" s="172">
        <v>105</v>
      </c>
      <c r="B9" s="173" t="s">
        <v>59</v>
      </c>
      <c r="C9" s="176" t="s">
        <v>207</v>
      </c>
      <c r="D9" s="175">
        <v>3500</v>
      </c>
      <c r="E9" s="175">
        <v>2100</v>
      </c>
      <c r="F9" s="175">
        <v>1500</v>
      </c>
      <c r="I9" s="172">
        <v>105</v>
      </c>
      <c r="J9" s="173" t="s">
        <v>59</v>
      </c>
      <c r="K9" s="176" t="s">
        <v>207</v>
      </c>
      <c r="L9" s="175">
        <v>3500</v>
      </c>
      <c r="M9" s="175">
        <v>2100</v>
      </c>
      <c r="N9" s="175">
        <v>1500</v>
      </c>
    </row>
    <row r="10" spans="1:14" ht="15" thickBot="1" x14ac:dyDescent="0.35">
      <c r="A10" s="172">
        <v>106</v>
      </c>
      <c r="B10" s="173" t="s">
        <v>60</v>
      </c>
      <c r="C10" s="176" t="s">
        <v>208</v>
      </c>
      <c r="D10" s="175">
        <v>3000</v>
      </c>
      <c r="E10" s="175">
        <v>1500</v>
      </c>
      <c r="F10" s="175">
        <v>1200</v>
      </c>
      <c r="I10" s="172">
        <v>106</v>
      </c>
      <c r="J10" s="173" t="s">
        <v>60</v>
      </c>
      <c r="K10" s="176" t="s">
        <v>208</v>
      </c>
      <c r="L10" s="175">
        <v>3000</v>
      </c>
      <c r="M10" s="175">
        <v>1500</v>
      </c>
      <c r="N10" s="175">
        <v>1200</v>
      </c>
    </row>
    <row r="11" spans="1:14" ht="15" thickBot="1" x14ac:dyDescent="0.35">
      <c r="A11" s="172">
        <v>107</v>
      </c>
      <c r="B11" s="173" t="s">
        <v>61</v>
      </c>
      <c r="C11" s="176" t="s">
        <v>207</v>
      </c>
      <c r="D11" s="175">
        <v>3500</v>
      </c>
      <c r="E11" s="175">
        <v>2100</v>
      </c>
      <c r="F11" s="175">
        <v>1500</v>
      </c>
      <c r="I11" s="172">
        <v>107</v>
      </c>
      <c r="J11" s="173" t="s">
        <v>61</v>
      </c>
      <c r="K11" s="176" t="s">
        <v>207</v>
      </c>
      <c r="L11" s="175">
        <v>3500</v>
      </c>
      <c r="M11" s="175">
        <v>2100</v>
      </c>
      <c r="N11" s="175">
        <v>1500</v>
      </c>
    </row>
    <row r="12" spans="1:14" ht="15" thickBot="1" x14ac:dyDescent="0.35">
      <c r="A12" s="172">
        <v>108</v>
      </c>
      <c r="B12" s="173" t="s">
        <v>267</v>
      </c>
      <c r="C12" s="176" t="s">
        <v>208</v>
      </c>
      <c r="D12" s="175">
        <v>3000</v>
      </c>
      <c r="E12" s="175">
        <v>1500</v>
      </c>
      <c r="F12" s="175">
        <v>1200</v>
      </c>
      <c r="I12" s="172">
        <v>108</v>
      </c>
      <c r="J12" s="173" t="s">
        <v>267</v>
      </c>
      <c r="K12" s="176" t="s">
        <v>208</v>
      </c>
      <c r="L12" s="175">
        <v>3000</v>
      </c>
      <c r="M12" s="175">
        <v>1500</v>
      </c>
      <c r="N12" s="175">
        <v>1200</v>
      </c>
    </row>
    <row r="13" spans="1:14" ht="15" thickBot="1" x14ac:dyDescent="0.35">
      <c r="A13" s="172">
        <v>109</v>
      </c>
      <c r="B13" s="173" t="s">
        <v>63</v>
      </c>
      <c r="C13" s="176" t="s">
        <v>207</v>
      </c>
      <c r="D13" s="175">
        <v>3500</v>
      </c>
      <c r="E13" s="175">
        <v>2100</v>
      </c>
      <c r="F13" s="175">
        <v>1500</v>
      </c>
      <c r="I13" s="172">
        <v>109</v>
      </c>
      <c r="J13" s="173" t="s">
        <v>63</v>
      </c>
      <c r="K13" s="176" t="s">
        <v>207</v>
      </c>
      <c r="L13" s="175">
        <v>3500</v>
      </c>
      <c r="M13" s="175">
        <v>2100</v>
      </c>
      <c r="N13" s="175">
        <v>1500</v>
      </c>
    </row>
    <row r="14" spans="1:14" ht="15" thickBot="1" x14ac:dyDescent="0.35">
      <c r="A14" s="172">
        <v>110</v>
      </c>
      <c r="B14" s="173" t="s">
        <v>65</v>
      </c>
      <c r="C14" s="176" t="s">
        <v>207</v>
      </c>
      <c r="D14" s="175">
        <v>3500</v>
      </c>
      <c r="E14" s="175">
        <v>2100</v>
      </c>
      <c r="F14" s="175">
        <v>1500</v>
      </c>
      <c r="I14" s="172">
        <v>110</v>
      </c>
      <c r="J14" s="173" t="s">
        <v>65</v>
      </c>
      <c r="K14" s="176" t="s">
        <v>207</v>
      </c>
      <c r="L14" s="175">
        <v>3500</v>
      </c>
      <c r="M14" s="175">
        <v>2100</v>
      </c>
      <c r="N14" s="175">
        <v>1500</v>
      </c>
    </row>
    <row r="15" spans="1:14" ht="15" thickBot="1" x14ac:dyDescent="0.35">
      <c r="A15" s="172">
        <v>111</v>
      </c>
      <c r="B15" s="173" t="s">
        <v>67</v>
      </c>
      <c r="C15" s="176" t="s">
        <v>208</v>
      </c>
      <c r="D15" s="175">
        <v>3000</v>
      </c>
      <c r="E15" s="175">
        <v>1500</v>
      </c>
      <c r="F15" s="175">
        <v>1200</v>
      </c>
      <c r="I15" s="172">
        <v>111</v>
      </c>
      <c r="J15" s="173" t="s">
        <v>67</v>
      </c>
      <c r="K15" s="176" t="s">
        <v>208</v>
      </c>
      <c r="L15" s="175">
        <v>3000</v>
      </c>
      <c r="M15" s="175">
        <v>1500</v>
      </c>
      <c r="N15" s="175">
        <v>1200</v>
      </c>
    </row>
    <row r="16" spans="1:14" ht="15" thickBot="1" x14ac:dyDescent="0.35">
      <c r="A16" s="172">
        <v>112</v>
      </c>
      <c r="B16" s="173" t="s">
        <v>69</v>
      </c>
      <c r="C16" s="176" t="s">
        <v>207</v>
      </c>
      <c r="D16" s="175">
        <v>3500</v>
      </c>
      <c r="E16" s="175">
        <v>2100</v>
      </c>
      <c r="F16" s="175">
        <v>1500</v>
      </c>
      <c r="I16" s="172">
        <v>112</v>
      </c>
      <c r="J16" s="173" t="s">
        <v>69</v>
      </c>
      <c r="K16" s="176" t="s">
        <v>207</v>
      </c>
      <c r="L16" s="175">
        <v>3500</v>
      </c>
      <c r="M16" s="175">
        <v>2100</v>
      </c>
      <c r="N16" s="175">
        <v>1500</v>
      </c>
    </row>
    <row r="17" spans="1:14" ht="15" thickBot="1" x14ac:dyDescent="0.35">
      <c r="A17" s="172">
        <v>113</v>
      </c>
      <c r="B17" s="173" t="s">
        <v>71</v>
      </c>
      <c r="C17" s="176" t="s">
        <v>208</v>
      </c>
      <c r="D17" s="175">
        <v>3000</v>
      </c>
      <c r="E17" s="175">
        <v>1500</v>
      </c>
      <c r="F17" s="175">
        <v>1200</v>
      </c>
      <c r="I17" s="172">
        <v>113</v>
      </c>
      <c r="J17" s="173" t="s">
        <v>71</v>
      </c>
      <c r="K17" s="176" t="s">
        <v>208</v>
      </c>
      <c r="L17" s="175">
        <v>3000</v>
      </c>
      <c r="M17" s="175">
        <v>1500</v>
      </c>
      <c r="N17" s="175">
        <v>1200</v>
      </c>
    </row>
    <row r="18" spans="1:14" ht="15" thickBot="1" x14ac:dyDescent="0.35">
      <c r="A18" s="172">
        <v>114</v>
      </c>
      <c r="B18" s="173" t="s">
        <v>268</v>
      </c>
      <c r="C18" s="176" t="s">
        <v>208</v>
      </c>
      <c r="D18" s="175">
        <v>3000</v>
      </c>
      <c r="E18" s="175">
        <v>1500</v>
      </c>
      <c r="F18" s="175">
        <v>1200</v>
      </c>
      <c r="I18" s="172">
        <v>114</v>
      </c>
      <c r="J18" s="173" t="s">
        <v>268</v>
      </c>
      <c r="K18" s="176" t="s">
        <v>208</v>
      </c>
      <c r="L18" s="175">
        <v>3000</v>
      </c>
      <c r="M18" s="175">
        <v>1500</v>
      </c>
      <c r="N18" s="175">
        <v>1200</v>
      </c>
    </row>
    <row r="19" spans="1:14" ht="15" thickBot="1" x14ac:dyDescent="0.35">
      <c r="A19" s="172">
        <v>115</v>
      </c>
      <c r="B19" s="173" t="s">
        <v>269</v>
      </c>
      <c r="C19" s="176" t="s">
        <v>208</v>
      </c>
      <c r="D19" s="175">
        <v>3000</v>
      </c>
      <c r="E19" s="175">
        <v>1500</v>
      </c>
      <c r="F19" s="175">
        <v>1200</v>
      </c>
      <c r="I19" s="172">
        <v>115</v>
      </c>
      <c r="J19" s="173" t="s">
        <v>269</v>
      </c>
      <c r="K19" s="176" t="s">
        <v>208</v>
      </c>
      <c r="L19" s="175">
        <v>3000</v>
      </c>
      <c r="M19" s="175">
        <v>1500</v>
      </c>
      <c r="N19" s="175">
        <v>1200</v>
      </c>
    </row>
    <row r="20" spans="1:14" ht="15" thickBot="1" x14ac:dyDescent="0.35">
      <c r="A20" s="172">
        <v>116</v>
      </c>
      <c r="B20" s="173" t="s">
        <v>75</v>
      </c>
      <c r="C20" s="176" t="s">
        <v>207</v>
      </c>
      <c r="D20" s="175">
        <v>3500</v>
      </c>
      <c r="E20" s="175">
        <v>2100</v>
      </c>
      <c r="F20" s="175">
        <v>1500</v>
      </c>
      <c r="I20" s="172">
        <v>116</v>
      </c>
      <c r="J20" s="173" t="s">
        <v>75</v>
      </c>
      <c r="K20" s="176" t="s">
        <v>207</v>
      </c>
      <c r="L20" s="175">
        <v>3500</v>
      </c>
      <c r="M20" s="175">
        <v>2100</v>
      </c>
      <c r="N20" s="175">
        <v>1500</v>
      </c>
    </row>
    <row r="21" spans="1:14" ht="15" thickBot="1" x14ac:dyDescent="0.35">
      <c r="A21" s="172">
        <v>117</v>
      </c>
      <c r="B21" s="173" t="s">
        <v>270</v>
      </c>
      <c r="C21" s="176" t="s">
        <v>207</v>
      </c>
      <c r="D21" s="175">
        <v>3500</v>
      </c>
      <c r="E21" s="175">
        <v>2100</v>
      </c>
      <c r="F21" s="175">
        <v>1500</v>
      </c>
      <c r="I21" s="172">
        <v>117</v>
      </c>
      <c r="J21" s="173" t="s">
        <v>270</v>
      </c>
      <c r="K21" s="176" t="s">
        <v>207</v>
      </c>
      <c r="L21" s="175">
        <v>3500</v>
      </c>
      <c r="M21" s="175">
        <v>2100</v>
      </c>
      <c r="N21" s="175">
        <v>1500</v>
      </c>
    </row>
    <row r="22" spans="1:14" ht="15" thickBot="1" x14ac:dyDescent="0.35">
      <c r="I22" s="172">
        <v>201</v>
      </c>
      <c r="J22" s="173" t="s">
        <v>76</v>
      </c>
      <c r="K22" s="174" t="s">
        <v>205</v>
      </c>
      <c r="L22" s="175">
        <v>8000</v>
      </c>
      <c r="M22" s="175">
        <v>6000</v>
      </c>
      <c r="N22" s="175">
        <v>4500</v>
      </c>
    </row>
    <row r="23" spans="1:14" ht="26.4" customHeight="1" thickBot="1" x14ac:dyDescent="0.35">
      <c r="C23" s="474" t="s">
        <v>40</v>
      </c>
      <c r="D23" s="476" t="s">
        <v>259</v>
      </c>
      <c r="E23" s="477"/>
      <c r="F23" s="478"/>
      <c r="I23" s="172">
        <v>202</v>
      </c>
      <c r="J23" s="173" t="s">
        <v>77</v>
      </c>
      <c r="K23" s="176" t="s">
        <v>206</v>
      </c>
      <c r="L23" s="175">
        <v>6000</v>
      </c>
      <c r="M23" s="175">
        <v>4500</v>
      </c>
      <c r="N23" s="175">
        <v>3500</v>
      </c>
    </row>
    <row r="24" spans="1:14" ht="15" thickBot="1" x14ac:dyDescent="0.35">
      <c r="A24" s="482" t="s">
        <v>271</v>
      </c>
      <c r="B24" s="483"/>
      <c r="C24" s="475"/>
      <c r="D24" s="479"/>
      <c r="E24" s="480"/>
      <c r="F24" s="481"/>
      <c r="I24" s="172">
        <v>203</v>
      </c>
      <c r="J24" s="173" t="s">
        <v>78</v>
      </c>
      <c r="K24" s="176" t="s">
        <v>206</v>
      </c>
      <c r="L24" s="175">
        <v>6000</v>
      </c>
      <c r="M24" s="175">
        <v>4500</v>
      </c>
      <c r="N24" s="175">
        <v>3500</v>
      </c>
    </row>
    <row r="25" spans="1:14" ht="15" thickBot="1" x14ac:dyDescent="0.35">
      <c r="A25" s="484" t="s">
        <v>261</v>
      </c>
      <c r="B25" s="486" t="s">
        <v>262</v>
      </c>
      <c r="C25" s="488" t="s">
        <v>51</v>
      </c>
      <c r="D25" s="490" t="s">
        <v>263</v>
      </c>
      <c r="E25" s="491"/>
      <c r="F25" s="492"/>
      <c r="I25" s="172">
        <v>204</v>
      </c>
      <c r="J25" s="173" t="s">
        <v>79</v>
      </c>
      <c r="K25" s="176" t="s">
        <v>206</v>
      </c>
      <c r="L25" s="175">
        <v>6000</v>
      </c>
      <c r="M25" s="175">
        <v>4500</v>
      </c>
      <c r="N25" s="175">
        <v>3500</v>
      </c>
    </row>
    <row r="26" spans="1:14" ht="15" thickBot="1" x14ac:dyDescent="0.35">
      <c r="A26" s="485"/>
      <c r="B26" s="487"/>
      <c r="C26" s="489"/>
      <c r="D26" s="170" t="s">
        <v>264</v>
      </c>
      <c r="E26" s="170" t="s">
        <v>265</v>
      </c>
      <c r="F26" s="171" t="s">
        <v>266</v>
      </c>
      <c r="I26" s="172">
        <v>205</v>
      </c>
      <c r="J26" s="173" t="s">
        <v>80</v>
      </c>
      <c r="K26" s="176" t="s">
        <v>205</v>
      </c>
      <c r="L26" s="175">
        <v>8000</v>
      </c>
      <c r="M26" s="175">
        <v>6000</v>
      </c>
      <c r="N26" s="175">
        <v>4500</v>
      </c>
    </row>
    <row r="27" spans="1:14" ht="15" thickBot="1" x14ac:dyDescent="0.35">
      <c r="A27" s="172">
        <v>201</v>
      </c>
      <c r="B27" s="173" t="s">
        <v>76</v>
      </c>
      <c r="C27" s="174" t="s">
        <v>205</v>
      </c>
      <c r="D27" s="175">
        <v>8000</v>
      </c>
      <c r="E27" s="175">
        <v>6000</v>
      </c>
      <c r="F27" s="175">
        <v>4500</v>
      </c>
      <c r="I27" s="172">
        <v>206</v>
      </c>
      <c r="J27" s="173" t="s">
        <v>81</v>
      </c>
      <c r="K27" s="176" t="s">
        <v>205</v>
      </c>
      <c r="L27" s="175">
        <v>8000</v>
      </c>
      <c r="M27" s="175">
        <v>6000</v>
      </c>
      <c r="N27" s="175">
        <v>4500</v>
      </c>
    </row>
    <row r="28" spans="1:14" ht="15" thickBot="1" x14ac:dyDescent="0.35">
      <c r="A28" s="172">
        <v>202</v>
      </c>
      <c r="B28" s="173" t="s">
        <v>77</v>
      </c>
      <c r="C28" s="176" t="s">
        <v>206</v>
      </c>
      <c r="D28" s="175">
        <v>6000</v>
      </c>
      <c r="E28" s="175">
        <v>4500</v>
      </c>
      <c r="F28" s="175">
        <v>3500</v>
      </c>
      <c r="I28" s="172">
        <v>301</v>
      </c>
      <c r="J28" s="173" t="s">
        <v>82</v>
      </c>
      <c r="K28" s="176" t="s">
        <v>206</v>
      </c>
      <c r="L28" s="175">
        <v>6000</v>
      </c>
      <c r="M28" s="175">
        <v>4500</v>
      </c>
      <c r="N28" s="175">
        <v>3500</v>
      </c>
    </row>
    <row r="29" spans="1:14" ht="15" thickBot="1" x14ac:dyDescent="0.35">
      <c r="A29" s="172">
        <v>203</v>
      </c>
      <c r="B29" s="173" t="s">
        <v>78</v>
      </c>
      <c r="C29" s="176" t="s">
        <v>206</v>
      </c>
      <c r="D29" s="175">
        <v>6000</v>
      </c>
      <c r="E29" s="175">
        <v>4500</v>
      </c>
      <c r="F29" s="175">
        <v>3500</v>
      </c>
      <c r="I29" s="172">
        <v>302</v>
      </c>
      <c r="J29" s="173" t="s">
        <v>273</v>
      </c>
      <c r="K29" s="176" t="s">
        <v>206</v>
      </c>
      <c r="L29" s="175">
        <v>6000</v>
      </c>
      <c r="M29" s="175">
        <v>4500</v>
      </c>
      <c r="N29" s="175">
        <v>3500</v>
      </c>
    </row>
    <row r="30" spans="1:14" ht="15" thickBot="1" x14ac:dyDescent="0.35">
      <c r="A30" s="172">
        <v>204</v>
      </c>
      <c r="B30" s="173" t="s">
        <v>79</v>
      </c>
      <c r="C30" s="176" t="s">
        <v>206</v>
      </c>
      <c r="D30" s="175">
        <v>6000</v>
      </c>
      <c r="E30" s="175">
        <v>4500</v>
      </c>
      <c r="F30" s="175">
        <v>3500</v>
      </c>
      <c r="I30" s="172">
        <v>303</v>
      </c>
      <c r="J30" s="173" t="s">
        <v>84</v>
      </c>
      <c r="K30" s="176" t="s">
        <v>205</v>
      </c>
      <c r="L30" s="175">
        <v>8000</v>
      </c>
      <c r="M30" s="175">
        <v>6000</v>
      </c>
      <c r="N30" s="175">
        <v>4500</v>
      </c>
    </row>
    <row r="31" spans="1:14" ht="15" thickBot="1" x14ac:dyDescent="0.35">
      <c r="A31" s="172">
        <v>205</v>
      </c>
      <c r="B31" s="173" t="s">
        <v>80</v>
      </c>
      <c r="C31" s="176" t="s">
        <v>205</v>
      </c>
      <c r="D31" s="175">
        <v>8000</v>
      </c>
      <c r="E31" s="175">
        <v>6000</v>
      </c>
      <c r="F31" s="175">
        <v>4500</v>
      </c>
      <c r="I31" s="172">
        <v>304</v>
      </c>
      <c r="J31" s="173" t="s">
        <v>85</v>
      </c>
      <c r="K31" s="176" t="s">
        <v>205</v>
      </c>
      <c r="L31" s="175">
        <v>8000</v>
      </c>
      <c r="M31" s="175">
        <v>6000</v>
      </c>
      <c r="N31" s="175">
        <v>4500</v>
      </c>
    </row>
    <row r="32" spans="1:14" ht="15" thickBot="1" x14ac:dyDescent="0.35">
      <c r="A32" s="172">
        <v>206</v>
      </c>
      <c r="B32" s="173" t="s">
        <v>81</v>
      </c>
      <c r="C32" s="176" t="s">
        <v>205</v>
      </c>
      <c r="D32" s="175">
        <v>8000</v>
      </c>
      <c r="E32" s="175">
        <v>6000</v>
      </c>
      <c r="F32" s="175">
        <v>4500</v>
      </c>
      <c r="I32" s="172">
        <v>305</v>
      </c>
      <c r="J32" s="173" t="s">
        <v>86</v>
      </c>
      <c r="K32" s="176" t="s">
        <v>208</v>
      </c>
      <c r="L32" s="175">
        <v>3000</v>
      </c>
      <c r="M32" s="175">
        <v>1500</v>
      </c>
      <c r="N32" s="175">
        <v>1200</v>
      </c>
    </row>
    <row r="33" spans="1:14" ht="15" thickBot="1" x14ac:dyDescent="0.35">
      <c r="I33" s="172">
        <v>306</v>
      </c>
      <c r="J33" s="173" t="s">
        <v>87</v>
      </c>
      <c r="K33" s="176" t="s">
        <v>207</v>
      </c>
      <c r="L33" s="175">
        <v>3500</v>
      </c>
      <c r="M33" s="175">
        <v>2100</v>
      </c>
      <c r="N33" s="175">
        <v>1500</v>
      </c>
    </row>
    <row r="34" spans="1:14" ht="26.4" customHeight="1" thickBot="1" x14ac:dyDescent="0.35">
      <c r="C34" s="474" t="s">
        <v>40</v>
      </c>
      <c r="D34" s="476" t="s">
        <v>259</v>
      </c>
      <c r="E34" s="477"/>
      <c r="F34" s="478"/>
      <c r="I34" s="172">
        <v>307</v>
      </c>
      <c r="J34" s="173" t="s">
        <v>88</v>
      </c>
      <c r="K34" s="176" t="s">
        <v>206</v>
      </c>
      <c r="L34" s="175">
        <v>6000</v>
      </c>
      <c r="M34" s="175">
        <v>4500</v>
      </c>
      <c r="N34" s="175">
        <v>3500</v>
      </c>
    </row>
    <row r="35" spans="1:14" ht="15" thickBot="1" x14ac:dyDescent="0.35">
      <c r="A35" s="482" t="s">
        <v>272</v>
      </c>
      <c r="B35" s="483"/>
      <c r="C35" s="495"/>
      <c r="D35" s="479"/>
      <c r="E35" s="480"/>
      <c r="F35" s="481"/>
      <c r="I35" s="172">
        <v>308</v>
      </c>
      <c r="J35" s="173" t="s">
        <v>89</v>
      </c>
      <c r="K35" s="176" t="s">
        <v>207</v>
      </c>
      <c r="L35" s="175">
        <v>3500</v>
      </c>
      <c r="M35" s="175">
        <v>2100</v>
      </c>
      <c r="N35" s="175">
        <v>1500</v>
      </c>
    </row>
    <row r="36" spans="1:14" ht="15" thickBot="1" x14ac:dyDescent="0.35">
      <c r="A36" s="484" t="s">
        <v>261</v>
      </c>
      <c r="B36" s="486" t="s">
        <v>262</v>
      </c>
      <c r="C36" s="493" t="s">
        <v>51</v>
      </c>
      <c r="D36" s="490" t="s">
        <v>263</v>
      </c>
      <c r="E36" s="491"/>
      <c r="F36" s="492"/>
      <c r="I36" s="172">
        <v>309</v>
      </c>
      <c r="J36" s="173" t="s">
        <v>90</v>
      </c>
      <c r="K36" s="176" t="s">
        <v>206</v>
      </c>
      <c r="L36" s="175">
        <v>6000</v>
      </c>
      <c r="M36" s="175">
        <v>4500</v>
      </c>
      <c r="N36" s="175">
        <v>3500</v>
      </c>
    </row>
    <row r="37" spans="1:14" ht="15" thickBot="1" x14ac:dyDescent="0.35">
      <c r="A37" s="485"/>
      <c r="B37" s="487"/>
      <c r="C37" s="494"/>
      <c r="D37" s="170" t="s">
        <v>264</v>
      </c>
      <c r="E37" s="170" t="s">
        <v>265</v>
      </c>
      <c r="F37" s="171" t="s">
        <v>266</v>
      </c>
      <c r="I37" s="172">
        <v>310</v>
      </c>
      <c r="J37" s="173" t="s">
        <v>91</v>
      </c>
      <c r="K37" s="176" t="s">
        <v>206</v>
      </c>
      <c r="L37" s="175">
        <v>6000</v>
      </c>
      <c r="M37" s="175">
        <v>4500</v>
      </c>
      <c r="N37" s="175">
        <v>3500</v>
      </c>
    </row>
    <row r="38" spans="1:14" ht="15" thickBot="1" x14ac:dyDescent="0.35">
      <c r="A38" s="172">
        <v>301</v>
      </c>
      <c r="B38" s="173" t="s">
        <v>82</v>
      </c>
      <c r="C38" s="176" t="s">
        <v>206</v>
      </c>
      <c r="D38" s="175">
        <v>6000</v>
      </c>
      <c r="E38" s="175">
        <v>4500</v>
      </c>
      <c r="F38" s="175">
        <v>3500</v>
      </c>
      <c r="I38" s="172">
        <v>401</v>
      </c>
      <c r="J38" s="173" t="s">
        <v>92</v>
      </c>
      <c r="K38" s="174" t="s">
        <v>207</v>
      </c>
      <c r="L38" s="175">
        <v>3500</v>
      </c>
      <c r="M38" s="175">
        <v>2100</v>
      </c>
      <c r="N38" s="175">
        <v>1500</v>
      </c>
    </row>
    <row r="39" spans="1:14" ht="15" thickBot="1" x14ac:dyDescent="0.35">
      <c r="A39" s="172">
        <v>302</v>
      </c>
      <c r="B39" s="173" t="s">
        <v>273</v>
      </c>
      <c r="C39" s="176" t="s">
        <v>206</v>
      </c>
      <c r="D39" s="175">
        <v>6000</v>
      </c>
      <c r="E39" s="175">
        <v>4500</v>
      </c>
      <c r="F39" s="175">
        <v>3500</v>
      </c>
      <c r="I39" s="172">
        <v>402</v>
      </c>
      <c r="J39" s="173" t="s">
        <v>93</v>
      </c>
      <c r="K39" s="176" t="s">
        <v>207</v>
      </c>
      <c r="L39" s="175">
        <v>3500</v>
      </c>
      <c r="M39" s="175">
        <v>2100</v>
      </c>
      <c r="N39" s="175">
        <v>1500</v>
      </c>
    </row>
    <row r="40" spans="1:14" ht="15" thickBot="1" x14ac:dyDescent="0.35">
      <c r="A40" s="172">
        <v>303</v>
      </c>
      <c r="B40" s="173" t="s">
        <v>84</v>
      </c>
      <c r="C40" s="176" t="s">
        <v>205</v>
      </c>
      <c r="D40" s="175">
        <v>8000</v>
      </c>
      <c r="E40" s="175">
        <v>6000</v>
      </c>
      <c r="F40" s="175">
        <v>4500</v>
      </c>
      <c r="I40" s="172">
        <v>403</v>
      </c>
      <c r="J40" s="173" t="s">
        <v>94</v>
      </c>
      <c r="K40" s="176" t="s">
        <v>206</v>
      </c>
      <c r="L40" s="175">
        <v>6000</v>
      </c>
      <c r="M40" s="175">
        <v>4500</v>
      </c>
      <c r="N40" s="175">
        <v>3500</v>
      </c>
    </row>
    <row r="41" spans="1:14" ht="15" thickBot="1" x14ac:dyDescent="0.35">
      <c r="A41" s="172">
        <v>304</v>
      </c>
      <c r="B41" s="173" t="s">
        <v>85</v>
      </c>
      <c r="C41" s="176" t="s">
        <v>205</v>
      </c>
      <c r="D41" s="175">
        <v>8000</v>
      </c>
      <c r="E41" s="175">
        <v>6000</v>
      </c>
      <c r="F41" s="175">
        <v>4500</v>
      </c>
      <c r="I41" s="172">
        <v>404</v>
      </c>
      <c r="J41" s="173" t="s">
        <v>96</v>
      </c>
      <c r="K41" s="176" t="s">
        <v>207</v>
      </c>
      <c r="L41" s="175">
        <v>3500</v>
      </c>
      <c r="M41" s="175">
        <v>2100</v>
      </c>
      <c r="N41" s="175">
        <v>1500</v>
      </c>
    </row>
    <row r="42" spans="1:14" ht="15" thickBot="1" x14ac:dyDescent="0.35">
      <c r="A42" s="172">
        <v>305</v>
      </c>
      <c r="B42" s="173" t="s">
        <v>86</v>
      </c>
      <c r="C42" s="176" t="s">
        <v>208</v>
      </c>
      <c r="D42" s="175">
        <v>3000</v>
      </c>
      <c r="E42" s="175">
        <v>1500</v>
      </c>
      <c r="F42" s="175">
        <v>1200</v>
      </c>
      <c r="I42" s="172">
        <v>405</v>
      </c>
      <c r="J42" s="173" t="s">
        <v>95</v>
      </c>
      <c r="K42" s="176" t="s">
        <v>206</v>
      </c>
      <c r="L42" s="175">
        <v>6000</v>
      </c>
      <c r="M42" s="175">
        <v>4500</v>
      </c>
      <c r="N42" s="175">
        <v>3500</v>
      </c>
    </row>
    <row r="43" spans="1:14" ht="15" thickBot="1" x14ac:dyDescent="0.35">
      <c r="A43" s="172">
        <v>306</v>
      </c>
      <c r="B43" s="173" t="s">
        <v>87</v>
      </c>
      <c r="C43" s="176" t="s">
        <v>207</v>
      </c>
      <c r="D43" s="175">
        <v>3500</v>
      </c>
      <c r="E43" s="175">
        <v>2100</v>
      </c>
      <c r="F43" s="175">
        <v>1500</v>
      </c>
      <c r="I43" s="172">
        <v>406</v>
      </c>
      <c r="J43" s="173" t="s">
        <v>97</v>
      </c>
      <c r="K43" s="176" t="s">
        <v>206</v>
      </c>
      <c r="L43" s="175">
        <v>6000</v>
      </c>
      <c r="M43" s="175">
        <v>4500</v>
      </c>
      <c r="N43" s="175">
        <v>3500</v>
      </c>
    </row>
    <row r="44" spans="1:14" ht="15" thickBot="1" x14ac:dyDescent="0.35">
      <c r="A44" s="172">
        <v>307</v>
      </c>
      <c r="B44" s="173" t="s">
        <v>88</v>
      </c>
      <c r="C44" s="176" t="s">
        <v>206</v>
      </c>
      <c r="D44" s="175">
        <v>6000</v>
      </c>
      <c r="E44" s="175">
        <v>4500</v>
      </c>
      <c r="F44" s="175">
        <v>3500</v>
      </c>
      <c r="I44" s="172">
        <v>407</v>
      </c>
      <c r="J44" s="173" t="s">
        <v>98</v>
      </c>
      <c r="K44" s="176" t="s">
        <v>207</v>
      </c>
      <c r="L44" s="175">
        <v>3500</v>
      </c>
      <c r="M44" s="175">
        <v>2100</v>
      </c>
      <c r="N44" s="175">
        <v>1500</v>
      </c>
    </row>
    <row r="45" spans="1:14" ht="15" thickBot="1" x14ac:dyDescent="0.35">
      <c r="A45" s="172">
        <v>308</v>
      </c>
      <c r="B45" s="173" t="s">
        <v>89</v>
      </c>
      <c r="C45" s="176" t="s">
        <v>207</v>
      </c>
      <c r="D45" s="175">
        <v>3500</v>
      </c>
      <c r="E45" s="175">
        <v>2100</v>
      </c>
      <c r="F45" s="175">
        <v>1500</v>
      </c>
      <c r="I45" s="172">
        <v>408</v>
      </c>
      <c r="J45" s="173" t="s">
        <v>275</v>
      </c>
      <c r="K45" s="176" t="s">
        <v>207</v>
      </c>
      <c r="L45" s="175">
        <v>3500</v>
      </c>
      <c r="M45" s="175">
        <v>2100</v>
      </c>
      <c r="N45" s="175">
        <v>1500</v>
      </c>
    </row>
    <row r="46" spans="1:14" ht="15" thickBot="1" x14ac:dyDescent="0.35">
      <c r="A46" s="172">
        <v>309</v>
      </c>
      <c r="B46" s="173" t="s">
        <v>90</v>
      </c>
      <c r="C46" s="176" t="s">
        <v>206</v>
      </c>
      <c r="D46" s="175">
        <v>6000</v>
      </c>
      <c r="E46" s="175">
        <v>4500</v>
      </c>
      <c r="F46" s="175">
        <v>3500</v>
      </c>
      <c r="I46" s="172">
        <v>409</v>
      </c>
      <c r="J46" s="173" t="s">
        <v>100</v>
      </c>
      <c r="K46" s="176" t="s">
        <v>207</v>
      </c>
      <c r="L46" s="175">
        <v>3500</v>
      </c>
      <c r="M46" s="175">
        <v>2100</v>
      </c>
      <c r="N46" s="175">
        <v>1500</v>
      </c>
    </row>
    <row r="47" spans="1:14" ht="15" thickBot="1" x14ac:dyDescent="0.35">
      <c r="A47" s="172">
        <v>310</v>
      </c>
      <c r="B47" s="173" t="s">
        <v>91</v>
      </c>
      <c r="C47" s="176" t="s">
        <v>206</v>
      </c>
      <c r="D47" s="175">
        <v>6000</v>
      </c>
      <c r="E47" s="175">
        <v>4500</v>
      </c>
      <c r="F47" s="175">
        <v>3500</v>
      </c>
      <c r="I47" s="172">
        <v>501</v>
      </c>
      <c r="J47" s="173" t="s">
        <v>101</v>
      </c>
      <c r="K47" s="174" t="s">
        <v>207</v>
      </c>
      <c r="L47" s="175">
        <v>3500</v>
      </c>
      <c r="M47" s="175">
        <v>2100</v>
      </c>
      <c r="N47" s="175">
        <v>1500</v>
      </c>
    </row>
    <row r="48" spans="1:14" ht="15" thickBot="1" x14ac:dyDescent="0.35">
      <c r="I48" s="172">
        <v>502</v>
      </c>
      <c r="J48" s="173" t="s">
        <v>102</v>
      </c>
      <c r="K48" s="176" t="s">
        <v>207</v>
      </c>
      <c r="L48" s="175">
        <v>3500</v>
      </c>
      <c r="M48" s="175">
        <v>2100</v>
      </c>
      <c r="N48" s="175">
        <v>1500</v>
      </c>
    </row>
    <row r="49" spans="1:14" ht="26.4" customHeight="1" thickBot="1" x14ac:dyDescent="0.35">
      <c r="C49" s="474" t="s">
        <v>40</v>
      </c>
      <c r="D49" s="476" t="s">
        <v>259</v>
      </c>
      <c r="E49" s="477"/>
      <c r="F49" s="478"/>
      <c r="I49" s="172">
        <v>503</v>
      </c>
      <c r="J49" s="173" t="s">
        <v>103</v>
      </c>
      <c r="K49" s="176" t="s">
        <v>207</v>
      </c>
      <c r="L49" s="175">
        <v>3500</v>
      </c>
      <c r="M49" s="175">
        <v>2100</v>
      </c>
      <c r="N49" s="175">
        <v>1500</v>
      </c>
    </row>
    <row r="50" spans="1:14" ht="15" thickBot="1" x14ac:dyDescent="0.35">
      <c r="A50" s="482" t="s">
        <v>274</v>
      </c>
      <c r="B50" s="483"/>
      <c r="C50" s="475"/>
      <c r="D50" s="479"/>
      <c r="E50" s="480"/>
      <c r="F50" s="481"/>
      <c r="I50" s="172">
        <v>504</v>
      </c>
      <c r="J50" s="173" t="s">
        <v>104</v>
      </c>
      <c r="K50" s="176" t="s">
        <v>207</v>
      </c>
      <c r="L50" s="175">
        <v>3500</v>
      </c>
      <c r="M50" s="175">
        <v>2100</v>
      </c>
      <c r="N50" s="175">
        <v>1500</v>
      </c>
    </row>
    <row r="51" spans="1:14" ht="15" thickBot="1" x14ac:dyDescent="0.35">
      <c r="A51" s="484" t="s">
        <v>261</v>
      </c>
      <c r="B51" s="486" t="s">
        <v>262</v>
      </c>
      <c r="C51" s="488" t="s">
        <v>51</v>
      </c>
      <c r="D51" s="490" t="s">
        <v>263</v>
      </c>
      <c r="E51" s="491"/>
      <c r="F51" s="492"/>
      <c r="I51" s="172">
        <v>505</v>
      </c>
      <c r="J51" s="173" t="s">
        <v>105</v>
      </c>
      <c r="K51" s="176" t="s">
        <v>207</v>
      </c>
      <c r="L51" s="175">
        <v>3500</v>
      </c>
      <c r="M51" s="175">
        <v>2100</v>
      </c>
      <c r="N51" s="175">
        <v>1500</v>
      </c>
    </row>
    <row r="52" spans="1:14" ht="15" thickBot="1" x14ac:dyDescent="0.35">
      <c r="A52" s="485"/>
      <c r="B52" s="487"/>
      <c r="C52" s="489"/>
      <c r="D52" s="170" t="s">
        <v>264</v>
      </c>
      <c r="E52" s="170" t="s">
        <v>265</v>
      </c>
      <c r="F52" s="171" t="s">
        <v>266</v>
      </c>
      <c r="I52" s="172">
        <v>506</v>
      </c>
      <c r="J52" s="173" t="s">
        <v>106</v>
      </c>
      <c r="K52" s="176" t="s">
        <v>208</v>
      </c>
      <c r="L52" s="175">
        <v>3000</v>
      </c>
      <c r="M52" s="175">
        <v>1500</v>
      </c>
      <c r="N52" s="175">
        <v>1200</v>
      </c>
    </row>
    <row r="53" spans="1:14" ht="15" thickBot="1" x14ac:dyDescent="0.35">
      <c r="A53" s="172">
        <v>401</v>
      </c>
      <c r="B53" s="173" t="s">
        <v>92</v>
      </c>
      <c r="C53" s="174" t="s">
        <v>207</v>
      </c>
      <c r="D53" s="175">
        <v>3500</v>
      </c>
      <c r="E53" s="175">
        <v>2100</v>
      </c>
      <c r="F53" s="175">
        <v>1500</v>
      </c>
      <c r="I53" s="172">
        <v>507</v>
      </c>
      <c r="J53" s="173" t="s">
        <v>107</v>
      </c>
      <c r="K53" s="176" t="s">
        <v>208</v>
      </c>
      <c r="L53" s="175">
        <v>3000</v>
      </c>
      <c r="M53" s="175">
        <v>1500</v>
      </c>
      <c r="N53" s="175">
        <v>1200</v>
      </c>
    </row>
    <row r="54" spans="1:14" ht="15" thickBot="1" x14ac:dyDescent="0.35">
      <c r="A54" s="172">
        <v>402</v>
      </c>
      <c r="B54" s="173" t="s">
        <v>93</v>
      </c>
      <c r="C54" s="176" t="s">
        <v>207</v>
      </c>
      <c r="D54" s="175">
        <v>3500</v>
      </c>
      <c r="E54" s="175">
        <v>2100</v>
      </c>
      <c r="F54" s="175">
        <v>1500</v>
      </c>
      <c r="I54" s="172">
        <v>508</v>
      </c>
      <c r="J54" s="173" t="s">
        <v>108</v>
      </c>
      <c r="K54" s="176" t="s">
        <v>208</v>
      </c>
      <c r="L54" s="175">
        <v>3000</v>
      </c>
      <c r="M54" s="175">
        <v>1500</v>
      </c>
      <c r="N54" s="175">
        <v>1200</v>
      </c>
    </row>
    <row r="55" spans="1:14" ht="15" thickBot="1" x14ac:dyDescent="0.35">
      <c r="A55" s="172">
        <v>403</v>
      </c>
      <c r="B55" s="173" t="s">
        <v>94</v>
      </c>
      <c r="C55" s="176" t="s">
        <v>206</v>
      </c>
      <c r="D55" s="175">
        <v>6000</v>
      </c>
      <c r="E55" s="175">
        <v>4500</v>
      </c>
      <c r="F55" s="175">
        <v>3500</v>
      </c>
      <c r="I55" s="172">
        <v>509</v>
      </c>
      <c r="J55" s="173" t="s">
        <v>109</v>
      </c>
      <c r="K55" s="176" t="s">
        <v>207</v>
      </c>
      <c r="L55" s="175">
        <v>3500</v>
      </c>
      <c r="M55" s="175">
        <v>2100</v>
      </c>
      <c r="N55" s="175">
        <v>1500</v>
      </c>
    </row>
    <row r="56" spans="1:14" ht="15" thickBot="1" x14ac:dyDescent="0.35">
      <c r="A56" s="172">
        <v>404</v>
      </c>
      <c r="B56" s="173" t="s">
        <v>96</v>
      </c>
      <c r="C56" s="176" t="s">
        <v>207</v>
      </c>
      <c r="D56" s="175">
        <v>3500</v>
      </c>
      <c r="E56" s="175">
        <v>2100</v>
      </c>
      <c r="F56" s="175">
        <v>1500</v>
      </c>
      <c r="I56" s="172">
        <v>510</v>
      </c>
      <c r="J56" s="173" t="s">
        <v>110</v>
      </c>
      <c r="K56" s="176" t="s">
        <v>206</v>
      </c>
      <c r="L56" s="175">
        <v>6000</v>
      </c>
      <c r="M56" s="175">
        <v>4500</v>
      </c>
      <c r="N56" s="175">
        <v>3500</v>
      </c>
    </row>
    <row r="57" spans="1:14" ht="15" thickBot="1" x14ac:dyDescent="0.35">
      <c r="A57" s="172">
        <v>405</v>
      </c>
      <c r="B57" s="173" t="s">
        <v>95</v>
      </c>
      <c r="C57" s="176" t="s">
        <v>206</v>
      </c>
      <c r="D57" s="175">
        <v>6000</v>
      </c>
      <c r="E57" s="175">
        <v>4500</v>
      </c>
      <c r="F57" s="175">
        <v>3500</v>
      </c>
      <c r="I57" s="172">
        <v>511</v>
      </c>
      <c r="J57" s="173" t="s">
        <v>277</v>
      </c>
      <c r="K57" s="176" t="s">
        <v>207</v>
      </c>
      <c r="L57" s="175">
        <v>3500</v>
      </c>
      <c r="M57" s="175">
        <v>2100</v>
      </c>
      <c r="N57" s="175">
        <v>1500</v>
      </c>
    </row>
    <row r="58" spans="1:14" ht="15" thickBot="1" x14ac:dyDescent="0.35">
      <c r="A58" s="172">
        <v>406</v>
      </c>
      <c r="B58" s="173" t="s">
        <v>97</v>
      </c>
      <c r="C58" s="176" t="s">
        <v>206</v>
      </c>
      <c r="D58" s="175">
        <v>6000</v>
      </c>
      <c r="E58" s="175">
        <v>4500</v>
      </c>
      <c r="F58" s="175">
        <v>3500</v>
      </c>
      <c r="I58" s="172">
        <v>512</v>
      </c>
      <c r="J58" s="173" t="s">
        <v>111</v>
      </c>
      <c r="K58" s="176" t="s">
        <v>208</v>
      </c>
      <c r="L58" s="175">
        <v>3000</v>
      </c>
      <c r="M58" s="175">
        <v>1500</v>
      </c>
      <c r="N58" s="175">
        <v>1200</v>
      </c>
    </row>
    <row r="59" spans="1:14" ht="15" thickBot="1" x14ac:dyDescent="0.35">
      <c r="A59" s="172">
        <v>407</v>
      </c>
      <c r="B59" s="173" t="s">
        <v>98</v>
      </c>
      <c r="C59" s="176" t="s">
        <v>207</v>
      </c>
      <c r="D59" s="175">
        <v>3500</v>
      </c>
      <c r="E59" s="175">
        <v>2100</v>
      </c>
      <c r="F59" s="175">
        <v>1500</v>
      </c>
      <c r="I59" s="172">
        <v>513</v>
      </c>
      <c r="J59" s="173" t="s">
        <v>112</v>
      </c>
      <c r="K59" s="176" t="s">
        <v>208</v>
      </c>
      <c r="L59" s="175">
        <v>3000</v>
      </c>
      <c r="M59" s="175">
        <v>1500</v>
      </c>
      <c r="N59" s="175">
        <v>1200</v>
      </c>
    </row>
    <row r="60" spans="1:14" ht="15" thickBot="1" x14ac:dyDescent="0.35">
      <c r="A60" s="172">
        <v>408</v>
      </c>
      <c r="B60" s="173" t="s">
        <v>275</v>
      </c>
      <c r="C60" s="176" t="s">
        <v>207</v>
      </c>
      <c r="D60" s="175">
        <v>3500</v>
      </c>
      <c r="E60" s="175">
        <v>2100</v>
      </c>
      <c r="F60" s="175">
        <v>1500</v>
      </c>
      <c r="I60" s="172">
        <v>514</v>
      </c>
      <c r="J60" s="173" t="s">
        <v>113</v>
      </c>
      <c r="K60" s="176" t="s">
        <v>208</v>
      </c>
      <c r="L60" s="175">
        <v>3000</v>
      </c>
      <c r="M60" s="175">
        <v>1500</v>
      </c>
      <c r="N60" s="175">
        <v>1200</v>
      </c>
    </row>
    <row r="61" spans="1:14" ht="15" thickBot="1" x14ac:dyDescent="0.35">
      <c r="A61" s="172">
        <v>409</v>
      </c>
      <c r="B61" s="173" t="s">
        <v>100</v>
      </c>
      <c r="C61" s="176" t="s">
        <v>207</v>
      </c>
      <c r="D61" s="175">
        <v>3500</v>
      </c>
      <c r="E61" s="175">
        <v>2100</v>
      </c>
      <c r="F61" s="175">
        <v>1500</v>
      </c>
      <c r="I61" s="172">
        <v>601</v>
      </c>
      <c r="J61" s="173" t="s">
        <v>279</v>
      </c>
      <c r="K61" s="174" t="s">
        <v>209</v>
      </c>
      <c r="L61" s="175">
        <v>1500</v>
      </c>
      <c r="M61" s="175">
        <v>1000</v>
      </c>
      <c r="N61" s="177">
        <v>800</v>
      </c>
    </row>
    <row r="62" spans="1:14" ht="15" thickBot="1" x14ac:dyDescent="0.35">
      <c r="I62" s="172">
        <v>602</v>
      </c>
      <c r="J62" s="173" t="s">
        <v>280</v>
      </c>
      <c r="K62" s="176" t="s">
        <v>208</v>
      </c>
      <c r="L62" s="175">
        <v>3000</v>
      </c>
      <c r="M62" s="175">
        <v>1500</v>
      </c>
      <c r="N62" s="175">
        <v>1200</v>
      </c>
    </row>
    <row r="63" spans="1:14" ht="26.4" customHeight="1" thickBot="1" x14ac:dyDescent="0.35">
      <c r="C63" s="474" t="s">
        <v>40</v>
      </c>
      <c r="D63" s="476" t="s">
        <v>259</v>
      </c>
      <c r="E63" s="477"/>
      <c r="F63" s="478"/>
      <c r="I63" s="172">
        <v>603</v>
      </c>
      <c r="J63" s="173" t="s">
        <v>116</v>
      </c>
      <c r="K63" s="176" t="s">
        <v>208</v>
      </c>
      <c r="L63" s="175">
        <v>3000</v>
      </c>
      <c r="M63" s="175">
        <v>1500</v>
      </c>
      <c r="N63" s="175">
        <v>1200</v>
      </c>
    </row>
    <row r="64" spans="1:14" ht="15" thickBot="1" x14ac:dyDescent="0.35">
      <c r="A64" s="482" t="s">
        <v>276</v>
      </c>
      <c r="B64" s="483"/>
      <c r="C64" s="475"/>
      <c r="D64" s="479"/>
      <c r="E64" s="480"/>
      <c r="F64" s="481"/>
      <c r="I64" s="172">
        <v>604</v>
      </c>
      <c r="J64" s="173" t="s">
        <v>281</v>
      </c>
      <c r="K64" s="176" t="s">
        <v>208</v>
      </c>
      <c r="L64" s="175">
        <v>3000</v>
      </c>
      <c r="M64" s="175">
        <v>1500</v>
      </c>
      <c r="N64" s="175">
        <v>1200</v>
      </c>
    </row>
    <row r="65" spans="1:14" ht="15" thickBot="1" x14ac:dyDescent="0.35">
      <c r="A65" s="484" t="s">
        <v>261</v>
      </c>
      <c r="B65" s="486" t="s">
        <v>262</v>
      </c>
      <c r="C65" s="488" t="s">
        <v>51</v>
      </c>
      <c r="D65" s="490" t="s">
        <v>263</v>
      </c>
      <c r="E65" s="491"/>
      <c r="F65" s="492"/>
      <c r="I65" s="172">
        <v>605</v>
      </c>
      <c r="J65" s="173" t="s">
        <v>118</v>
      </c>
      <c r="K65" s="176" t="s">
        <v>209</v>
      </c>
      <c r="L65" s="175">
        <v>1500</v>
      </c>
      <c r="M65" s="175">
        <v>1000</v>
      </c>
      <c r="N65" s="177">
        <v>800</v>
      </c>
    </row>
    <row r="66" spans="1:14" ht="15" thickBot="1" x14ac:dyDescent="0.35">
      <c r="A66" s="485"/>
      <c r="B66" s="487"/>
      <c r="C66" s="489"/>
      <c r="D66" s="170" t="s">
        <v>264</v>
      </c>
      <c r="E66" s="170" t="s">
        <v>265</v>
      </c>
      <c r="F66" s="171" t="s">
        <v>266</v>
      </c>
      <c r="I66" s="172">
        <v>606</v>
      </c>
      <c r="J66" s="173" t="s">
        <v>119</v>
      </c>
      <c r="K66" s="176" t="s">
        <v>209</v>
      </c>
      <c r="L66" s="175">
        <v>1500</v>
      </c>
      <c r="M66" s="175">
        <v>1000</v>
      </c>
      <c r="N66" s="177">
        <v>800</v>
      </c>
    </row>
    <row r="67" spans="1:14" ht="15" thickBot="1" x14ac:dyDescent="0.35">
      <c r="A67" s="172">
        <v>501</v>
      </c>
      <c r="B67" s="173" t="s">
        <v>101</v>
      </c>
      <c r="C67" s="174" t="s">
        <v>207</v>
      </c>
      <c r="D67" s="175">
        <v>3500</v>
      </c>
      <c r="E67" s="175">
        <v>2100</v>
      </c>
      <c r="F67" s="175">
        <v>1500</v>
      </c>
      <c r="I67" s="172">
        <v>607</v>
      </c>
      <c r="J67" s="173" t="s">
        <v>120</v>
      </c>
      <c r="K67" s="176" t="s">
        <v>209</v>
      </c>
      <c r="L67" s="175">
        <v>1500</v>
      </c>
      <c r="M67" s="175">
        <v>1000</v>
      </c>
      <c r="N67" s="177">
        <v>800</v>
      </c>
    </row>
    <row r="68" spans="1:14" ht="15" thickBot="1" x14ac:dyDescent="0.35">
      <c r="A68" s="172">
        <v>502</v>
      </c>
      <c r="B68" s="173" t="s">
        <v>102</v>
      </c>
      <c r="C68" s="176" t="s">
        <v>207</v>
      </c>
      <c r="D68" s="175">
        <v>3500</v>
      </c>
      <c r="E68" s="175">
        <v>2100</v>
      </c>
      <c r="F68" s="175">
        <v>1500</v>
      </c>
      <c r="I68" s="172">
        <v>608</v>
      </c>
      <c r="J68" s="173" t="s">
        <v>282</v>
      </c>
      <c r="K68" s="176" t="s">
        <v>208</v>
      </c>
      <c r="L68" s="175">
        <v>3000</v>
      </c>
      <c r="M68" s="175">
        <v>1500</v>
      </c>
      <c r="N68" s="175">
        <v>1200</v>
      </c>
    </row>
    <row r="69" spans="1:14" ht="15" thickBot="1" x14ac:dyDescent="0.35">
      <c r="A69" s="172">
        <v>503</v>
      </c>
      <c r="B69" s="173" t="s">
        <v>103</v>
      </c>
      <c r="C69" s="176" t="s">
        <v>207</v>
      </c>
      <c r="D69" s="175">
        <v>3500</v>
      </c>
      <c r="E69" s="175">
        <v>2100</v>
      </c>
      <c r="F69" s="175">
        <v>1500</v>
      </c>
      <c r="I69" s="172">
        <v>609</v>
      </c>
      <c r="J69" s="173" t="s">
        <v>122</v>
      </c>
      <c r="K69" s="176" t="s">
        <v>208</v>
      </c>
      <c r="L69" s="175">
        <v>3000</v>
      </c>
      <c r="M69" s="175">
        <v>1500</v>
      </c>
      <c r="N69" s="175">
        <v>1200</v>
      </c>
    </row>
    <row r="70" spans="1:14" ht="15" thickBot="1" x14ac:dyDescent="0.35">
      <c r="A70" s="172">
        <v>504</v>
      </c>
      <c r="B70" s="173" t="s">
        <v>104</v>
      </c>
      <c r="C70" s="176" t="s">
        <v>207</v>
      </c>
      <c r="D70" s="175">
        <v>3500</v>
      </c>
      <c r="E70" s="175">
        <v>2100</v>
      </c>
      <c r="F70" s="175">
        <v>1500</v>
      </c>
      <c r="I70" s="172">
        <v>701</v>
      </c>
      <c r="J70" s="173" t="s">
        <v>123</v>
      </c>
      <c r="K70" s="174" t="s">
        <v>208</v>
      </c>
      <c r="L70" s="175">
        <v>3000</v>
      </c>
      <c r="M70" s="175">
        <v>1500</v>
      </c>
      <c r="N70" s="175">
        <v>1200</v>
      </c>
    </row>
    <row r="71" spans="1:14" ht="15" thickBot="1" x14ac:dyDescent="0.35">
      <c r="A71" s="172">
        <v>505</v>
      </c>
      <c r="B71" s="173" t="s">
        <v>105</v>
      </c>
      <c r="C71" s="176" t="s">
        <v>207</v>
      </c>
      <c r="D71" s="175">
        <v>3500</v>
      </c>
      <c r="E71" s="175">
        <v>2100</v>
      </c>
      <c r="F71" s="175">
        <v>1500</v>
      </c>
      <c r="I71" s="172">
        <v>702</v>
      </c>
      <c r="J71" s="173" t="s">
        <v>124</v>
      </c>
      <c r="K71" s="176" t="s">
        <v>208</v>
      </c>
      <c r="L71" s="175">
        <v>3000</v>
      </c>
      <c r="M71" s="175">
        <v>1500</v>
      </c>
      <c r="N71" s="175">
        <v>1200</v>
      </c>
    </row>
    <row r="72" spans="1:14" ht="15" thickBot="1" x14ac:dyDescent="0.35">
      <c r="A72" s="172">
        <v>506</v>
      </c>
      <c r="B72" s="173" t="s">
        <v>106</v>
      </c>
      <c r="C72" s="176" t="s">
        <v>208</v>
      </c>
      <c r="D72" s="175">
        <v>3000</v>
      </c>
      <c r="E72" s="175">
        <v>1500</v>
      </c>
      <c r="F72" s="175">
        <v>1200</v>
      </c>
      <c r="I72" s="172">
        <v>703</v>
      </c>
      <c r="J72" s="173" t="s">
        <v>125</v>
      </c>
      <c r="K72" s="176" t="s">
        <v>208</v>
      </c>
      <c r="L72" s="175">
        <v>3000</v>
      </c>
      <c r="M72" s="175">
        <v>1500</v>
      </c>
      <c r="N72" s="175">
        <v>1200</v>
      </c>
    </row>
    <row r="73" spans="1:14" ht="15" thickBot="1" x14ac:dyDescent="0.35">
      <c r="A73" s="172">
        <v>507</v>
      </c>
      <c r="B73" s="173" t="s">
        <v>107</v>
      </c>
      <c r="C73" s="176" t="s">
        <v>208</v>
      </c>
      <c r="D73" s="175">
        <v>3000</v>
      </c>
      <c r="E73" s="175">
        <v>1500</v>
      </c>
      <c r="F73" s="175">
        <v>1200</v>
      </c>
      <c r="I73" s="172">
        <v>704</v>
      </c>
      <c r="J73" s="173" t="s">
        <v>126</v>
      </c>
      <c r="K73" s="176" t="s">
        <v>209</v>
      </c>
      <c r="L73" s="175">
        <v>1500</v>
      </c>
      <c r="M73" s="175">
        <v>1000</v>
      </c>
      <c r="N73" s="177">
        <v>800</v>
      </c>
    </row>
    <row r="74" spans="1:14" ht="15" thickBot="1" x14ac:dyDescent="0.35">
      <c r="A74" s="172">
        <v>508</v>
      </c>
      <c r="B74" s="173" t="s">
        <v>108</v>
      </c>
      <c r="C74" s="176" t="s">
        <v>208</v>
      </c>
      <c r="D74" s="175">
        <v>3000</v>
      </c>
      <c r="E74" s="175">
        <v>1500</v>
      </c>
      <c r="F74" s="175">
        <v>1200</v>
      </c>
      <c r="I74" s="172">
        <v>705</v>
      </c>
      <c r="J74" s="173" t="s">
        <v>127</v>
      </c>
      <c r="K74" s="176" t="s">
        <v>208</v>
      </c>
      <c r="L74" s="175">
        <v>3000</v>
      </c>
      <c r="M74" s="175">
        <v>1500</v>
      </c>
      <c r="N74" s="175">
        <v>1200</v>
      </c>
    </row>
    <row r="75" spans="1:14" ht="15" thickBot="1" x14ac:dyDescent="0.35">
      <c r="A75" s="172">
        <v>509</v>
      </c>
      <c r="B75" s="173" t="s">
        <v>109</v>
      </c>
      <c r="C75" s="176" t="s">
        <v>207</v>
      </c>
      <c r="D75" s="175">
        <v>3500</v>
      </c>
      <c r="E75" s="175">
        <v>2100</v>
      </c>
      <c r="F75" s="175">
        <v>1500</v>
      </c>
      <c r="I75" s="172">
        <v>706</v>
      </c>
      <c r="J75" s="173" t="s">
        <v>128</v>
      </c>
      <c r="K75" s="176" t="s">
        <v>209</v>
      </c>
      <c r="L75" s="175">
        <v>1500</v>
      </c>
      <c r="M75" s="175">
        <v>1000</v>
      </c>
      <c r="N75" s="177">
        <v>800</v>
      </c>
    </row>
    <row r="76" spans="1:14" ht="15" thickBot="1" x14ac:dyDescent="0.35">
      <c r="A76" s="172">
        <v>510</v>
      </c>
      <c r="B76" s="173" t="s">
        <v>110</v>
      </c>
      <c r="C76" s="176" t="s">
        <v>206</v>
      </c>
      <c r="D76" s="175">
        <v>6000</v>
      </c>
      <c r="E76" s="175">
        <v>4500</v>
      </c>
      <c r="F76" s="175">
        <v>3500</v>
      </c>
      <c r="I76" s="172">
        <v>707</v>
      </c>
      <c r="J76" s="173" t="s">
        <v>284</v>
      </c>
      <c r="K76" s="176" t="s">
        <v>208</v>
      </c>
      <c r="L76" s="175">
        <v>3000</v>
      </c>
      <c r="M76" s="175">
        <v>1500</v>
      </c>
      <c r="N76" s="175">
        <v>1200</v>
      </c>
    </row>
    <row r="77" spans="1:14" ht="15" thickBot="1" x14ac:dyDescent="0.35">
      <c r="A77" s="172">
        <v>511</v>
      </c>
      <c r="B77" s="173" t="s">
        <v>277</v>
      </c>
      <c r="C77" s="176" t="s">
        <v>207</v>
      </c>
      <c r="D77" s="175">
        <v>3500</v>
      </c>
      <c r="E77" s="175">
        <v>2100</v>
      </c>
      <c r="F77" s="175">
        <v>1500</v>
      </c>
      <c r="I77" s="172">
        <v>708</v>
      </c>
      <c r="J77" s="173" t="s">
        <v>130</v>
      </c>
      <c r="K77" s="176" t="s">
        <v>208</v>
      </c>
      <c r="L77" s="175">
        <v>3000</v>
      </c>
      <c r="M77" s="175">
        <v>1500</v>
      </c>
      <c r="N77" s="175">
        <v>1200</v>
      </c>
    </row>
    <row r="78" spans="1:14" ht="15" thickBot="1" x14ac:dyDescent="0.35">
      <c r="A78" s="172">
        <v>512</v>
      </c>
      <c r="B78" s="173" t="s">
        <v>111</v>
      </c>
      <c r="C78" s="176" t="s">
        <v>208</v>
      </c>
      <c r="D78" s="175">
        <v>3000</v>
      </c>
      <c r="E78" s="175">
        <v>1500</v>
      </c>
      <c r="F78" s="175">
        <v>1200</v>
      </c>
      <c r="I78" s="172">
        <v>709</v>
      </c>
      <c r="J78" s="173" t="s">
        <v>131</v>
      </c>
      <c r="K78" s="176" t="s">
        <v>209</v>
      </c>
      <c r="L78" s="175">
        <v>1500</v>
      </c>
      <c r="M78" s="175">
        <v>1000</v>
      </c>
      <c r="N78" s="177">
        <v>800</v>
      </c>
    </row>
    <row r="79" spans="1:14" ht="15" thickBot="1" x14ac:dyDescent="0.35">
      <c r="A79" s="172">
        <v>513</v>
      </c>
      <c r="B79" s="173" t="s">
        <v>112</v>
      </c>
      <c r="C79" s="176" t="s">
        <v>208</v>
      </c>
      <c r="D79" s="175">
        <v>3000</v>
      </c>
      <c r="E79" s="175">
        <v>1500</v>
      </c>
      <c r="F79" s="175">
        <v>1200</v>
      </c>
      <c r="I79" s="172">
        <v>710</v>
      </c>
      <c r="J79" s="173" t="s">
        <v>285</v>
      </c>
      <c r="K79" s="176" t="s">
        <v>209</v>
      </c>
      <c r="L79" s="175">
        <v>1500</v>
      </c>
      <c r="M79" s="175">
        <v>1000</v>
      </c>
      <c r="N79" s="177">
        <v>800</v>
      </c>
    </row>
    <row r="80" spans="1:14" ht="15" thickBot="1" x14ac:dyDescent="0.35">
      <c r="A80" s="172">
        <v>514</v>
      </c>
      <c r="B80" s="173" t="s">
        <v>113</v>
      </c>
      <c r="C80" s="176" t="s">
        <v>208</v>
      </c>
      <c r="D80" s="175">
        <v>3000</v>
      </c>
      <c r="E80" s="175">
        <v>1500</v>
      </c>
      <c r="F80" s="175">
        <v>1200</v>
      </c>
      <c r="I80" s="172">
        <v>711</v>
      </c>
      <c r="J80" s="173" t="s">
        <v>133</v>
      </c>
      <c r="K80" s="176" t="s">
        <v>209</v>
      </c>
      <c r="L80" s="175">
        <v>1500</v>
      </c>
      <c r="M80" s="175">
        <v>1000</v>
      </c>
      <c r="N80" s="177">
        <v>800</v>
      </c>
    </row>
    <row r="81" spans="1:14" ht="15" thickBot="1" x14ac:dyDescent="0.35">
      <c r="I81" s="172">
        <v>712</v>
      </c>
      <c r="J81" s="173" t="s">
        <v>286</v>
      </c>
      <c r="K81" s="176" t="s">
        <v>209</v>
      </c>
      <c r="L81" s="175">
        <v>1500</v>
      </c>
      <c r="M81" s="175">
        <v>1000</v>
      </c>
      <c r="N81" s="177">
        <v>800</v>
      </c>
    </row>
    <row r="82" spans="1:14" ht="26.4" customHeight="1" thickBot="1" x14ac:dyDescent="0.35">
      <c r="C82" s="474" t="s">
        <v>40</v>
      </c>
      <c r="D82" s="476" t="s">
        <v>259</v>
      </c>
      <c r="E82" s="477"/>
      <c r="F82" s="478"/>
      <c r="I82" s="172">
        <v>713</v>
      </c>
      <c r="J82" s="173" t="s">
        <v>135</v>
      </c>
      <c r="K82" s="176" t="s">
        <v>209</v>
      </c>
      <c r="L82" s="175">
        <v>1500</v>
      </c>
      <c r="M82" s="175">
        <v>1000</v>
      </c>
      <c r="N82" s="177">
        <v>800</v>
      </c>
    </row>
    <row r="83" spans="1:14" ht="15" thickBot="1" x14ac:dyDescent="0.35">
      <c r="A83" s="482" t="s">
        <v>278</v>
      </c>
      <c r="B83" s="483"/>
      <c r="C83" s="495"/>
      <c r="D83" s="479"/>
      <c r="E83" s="480"/>
      <c r="F83" s="481"/>
      <c r="I83" s="172">
        <v>714</v>
      </c>
      <c r="J83" s="173" t="s">
        <v>287</v>
      </c>
      <c r="K83" s="176" t="s">
        <v>209</v>
      </c>
      <c r="L83" s="175">
        <v>1500</v>
      </c>
      <c r="M83" s="175">
        <v>1000</v>
      </c>
      <c r="N83" s="177">
        <v>800</v>
      </c>
    </row>
    <row r="84" spans="1:14" ht="15" thickBot="1" x14ac:dyDescent="0.35">
      <c r="A84" s="484" t="s">
        <v>261</v>
      </c>
      <c r="B84" s="486" t="s">
        <v>262</v>
      </c>
      <c r="C84" s="493" t="s">
        <v>51</v>
      </c>
      <c r="D84" s="490" t="s">
        <v>263</v>
      </c>
      <c r="E84" s="491"/>
      <c r="F84" s="492"/>
      <c r="I84" s="172">
        <v>715</v>
      </c>
      <c r="J84" s="173" t="s">
        <v>137</v>
      </c>
      <c r="K84" s="176" t="s">
        <v>208</v>
      </c>
      <c r="L84" s="175">
        <v>3000</v>
      </c>
      <c r="M84" s="175">
        <v>1500</v>
      </c>
      <c r="N84" s="175">
        <v>1200</v>
      </c>
    </row>
    <row r="85" spans="1:14" ht="15" thickBot="1" x14ac:dyDescent="0.35">
      <c r="A85" s="485"/>
      <c r="B85" s="487"/>
      <c r="C85" s="489"/>
      <c r="D85" s="170" t="s">
        <v>264</v>
      </c>
      <c r="E85" s="170" t="s">
        <v>265</v>
      </c>
      <c r="F85" s="171" t="s">
        <v>266</v>
      </c>
      <c r="I85" s="172">
        <v>801</v>
      </c>
      <c r="J85" s="173" t="s">
        <v>138</v>
      </c>
      <c r="K85" s="174" t="s">
        <v>206</v>
      </c>
      <c r="L85" s="175">
        <v>6000</v>
      </c>
      <c r="M85" s="175">
        <v>4500</v>
      </c>
      <c r="N85" s="175">
        <v>3500</v>
      </c>
    </row>
    <row r="86" spans="1:14" ht="15" thickBot="1" x14ac:dyDescent="0.35">
      <c r="A86" s="172">
        <v>601</v>
      </c>
      <c r="B86" s="173" t="s">
        <v>279</v>
      </c>
      <c r="C86" s="174" t="s">
        <v>209</v>
      </c>
      <c r="D86" s="175">
        <v>1500</v>
      </c>
      <c r="E86" s="175">
        <v>1000</v>
      </c>
      <c r="F86" s="177">
        <v>800</v>
      </c>
      <c r="I86" s="172">
        <v>802</v>
      </c>
      <c r="J86" s="173" t="s">
        <v>139</v>
      </c>
      <c r="K86" s="176" t="s">
        <v>208</v>
      </c>
      <c r="L86" s="175">
        <v>3000</v>
      </c>
      <c r="M86" s="175">
        <v>1500</v>
      </c>
      <c r="N86" s="175">
        <v>1200</v>
      </c>
    </row>
    <row r="87" spans="1:14" ht="15" thickBot="1" x14ac:dyDescent="0.35">
      <c r="A87" s="172">
        <v>602</v>
      </c>
      <c r="B87" s="173" t="s">
        <v>280</v>
      </c>
      <c r="C87" s="176" t="s">
        <v>208</v>
      </c>
      <c r="D87" s="175">
        <v>3000</v>
      </c>
      <c r="E87" s="175">
        <v>1500</v>
      </c>
      <c r="F87" s="175">
        <v>1200</v>
      </c>
      <c r="I87" s="172">
        <v>803</v>
      </c>
      <c r="J87" s="173" t="s">
        <v>140</v>
      </c>
      <c r="K87" s="176" t="s">
        <v>208</v>
      </c>
      <c r="L87" s="175">
        <v>3000</v>
      </c>
      <c r="M87" s="175">
        <v>1500</v>
      </c>
      <c r="N87" s="175">
        <v>1200</v>
      </c>
    </row>
    <row r="88" spans="1:14" ht="15" thickBot="1" x14ac:dyDescent="0.35">
      <c r="A88" s="172">
        <v>603</v>
      </c>
      <c r="B88" s="173" t="s">
        <v>116</v>
      </c>
      <c r="C88" s="176" t="s">
        <v>208</v>
      </c>
      <c r="D88" s="175">
        <v>3000</v>
      </c>
      <c r="E88" s="175">
        <v>1500</v>
      </c>
      <c r="F88" s="175">
        <v>1200</v>
      </c>
      <c r="I88" s="172">
        <v>804</v>
      </c>
      <c r="J88" s="173" t="s">
        <v>141</v>
      </c>
      <c r="K88" s="176" t="s">
        <v>209</v>
      </c>
      <c r="L88" s="175">
        <v>1500</v>
      </c>
      <c r="M88" s="175">
        <v>1000</v>
      </c>
      <c r="N88" s="177">
        <v>800</v>
      </c>
    </row>
    <row r="89" spans="1:14" ht="15" thickBot="1" x14ac:dyDescent="0.35">
      <c r="A89" s="172">
        <v>604</v>
      </c>
      <c r="B89" s="173" t="s">
        <v>281</v>
      </c>
      <c r="C89" s="176" t="s">
        <v>208</v>
      </c>
      <c r="D89" s="175">
        <v>3000</v>
      </c>
      <c r="E89" s="175">
        <v>1500</v>
      </c>
      <c r="F89" s="175">
        <v>1200</v>
      </c>
      <c r="I89" s="172">
        <v>805</v>
      </c>
      <c r="J89" s="173" t="s">
        <v>142</v>
      </c>
      <c r="K89" s="176" t="s">
        <v>209</v>
      </c>
      <c r="L89" s="175">
        <v>1500</v>
      </c>
      <c r="M89" s="175">
        <v>1000</v>
      </c>
      <c r="N89" s="177">
        <v>800</v>
      </c>
    </row>
    <row r="90" spans="1:14" ht="15" thickBot="1" x14ac:dyDescent="0.35">
      <c r="A90" s="172">
        <v>605</v>
      </c>
      <c r="B90" s="173" t="s">
        <v>118</v>
      </c>
      <c r="C90" s="176" t="s">
        <v>209</v>
      </c>
      <c r="D90" s="175">
        <v>1500</v>
      </c>
      <c r="E90" s="175">
        <v>1000</v>
      </c>
      <c r="F90" s="177">
        <v>800</v>
      </c>
      <c r="I90" s="172">
        <v>806</v>
      </c>
      <c r="J90" s="173" t="s">
        <v>143</v>
      </c>
      <c r="K90" s="176" t="s">
        <v>209</v>
      </c>
      <c r="L90" s="175">
        <v>1500</v>
      </c>
      <c r="M90" s="175">
        <v>1000</v>
      </c>
      <c r="N90" s="177">
        <v>800</v>
      </c>
    </row>
    <row r="91" spans="1:14" ht="15" thickBot="1" x14ac:dyDescent="0.35">
      <c r="A91" s="172">
        <v>606</v>
      </c>
      <c r="B91" s="173" t="s">
        <v>119</v>
      </c>
      <c r="C91" s="176" t="s">
        <v>209</v>
      </c>
      <c r="D91" s="175">
        <v>1500</v>
      </c>
      <c r="E91" s="175">
        <v>1000</v>
      </c>
      <c r="F91" s="177">
        <v>800</v>
      </c>
      <c r="I91" s="172">
        <v>807</v>
      </c>
      <c r="J91" s="173" t="s">
        <v>144</v>
      </c>
      <c r="K91" s="176" t="s">
        <v>209</v>
      </c>
      <c r="L91" s="175">
        <v>1500</v>
      </c>
      <c r="M91" s="175">
        <v>1000</v>
      </c>
      <c r="N91" s="177">
        <v>800</v>
      </c>
    </row>
    <row r="92" spans="1:14" ht="15" thickBot="1" x14ac:dyDescent="0.35">
      <c r="A92" s="172">
        <v>607</v>
      </c>
      <c r="B92" s="173" t="s">
        <v>120</v>
      </c>
      <c r="C92" s="176" t="s">
        <v>209</v>
      </c>
      <c r="D92" s="175">
        <v>1500</v>
      </c>
      <c r="E92" s="175">
        <v>1000</v>
      </c>
      <c r="F92" s="177">
        <v>800</v>
      </c>
      <c r="I92" s="172">
        <v>808</v>
      </c>
      <c r="J92" s="173" t="s">
        <v>145</v>
      </c>
      <c r="K92" s="176" t="s">
        <v>209</v>
      </c>
      <c r="L92" s="175">
        <v>1500</v>
      </c>
      <c r="M92" s="175">
        <v>1000</v>
      </c>
      <c r="N92" s="177">
        <v>800</v>
      </c>
    </row>
    <row r="93" spans="1:14" ht="15" thickBot="1" x14ac:dyDescent="0.35">
      <c r="A93" s="172">
        <v>608</v>
      </c>
      <c r="B93" s="173" t="s">
        <v>282</v>
      </c>
      <c r="C93" s="176" t="s">
        <v>208</v>
      </c>
      <c r="D93" s="175">
        <v>3000</v>
      </c>
      <c r="E93" s="175">
        <v>1500</v>
      </c>
      <c r="F93" s="175">
        <v>1200</v>
      </c>
    </row>
    <row r="94" spans="1:14" ht="15" thickBot="1" x14ac:dyDescent="0.35">
      <c r="A94" s="172">
        <v>609</v>
      </c>
      <c r="B94" s="173" t="s">
        <v>122</v>
      </c>
      <c r="C94" s="176" t="s">
        <v>208</v>
      </c>
      <c r="D94" s="175">
        <v>3000</v>
      </c>
      <c r="E94" s="175">
        <v>1500</v>
      </c>
      <c r="F94" s="175">
        <v>1200</v>
      </c>
    </row>
    <row r="95" spans="1:14" ht="15" thickBot="1" x14ac:dyDescent="0.35"/>
    <row r="96" spans="1:14" ht="26.4" customHeight="1" x14ac:dyDescent="0.3">
      <c r="C96" s="474" t="s">
        <v>40</v>
      </c>
      <c r="D96" s="476" t="s">
        <v>259</v>
      </c>
      <c r="E96" s="477"/>
      <c r="F96" s="478"/>
    </row>
    <row r="97" spans="1:6" ht="15" thickBot="1" x14ac:dyDescent="0.35">
      <c r="A97" s="482" t="s">
        <v>283</v>
      </c>
      <c r="B97" s="483"/>
      <c r="C97" s="495"/>
      <c r="D97" s="479"/>
      <c r="E97" s="480"/>
      <c r="F97" s="481"/>
    </row>
    <row r="98" spans="1:6" x14ac:dyDescent="0.3">
      <c r="A98" s="484" t="s">
        <v>261</v>
      </c>
      <c r="B98" s="486" t="s">
        <v>262</v>
      </c>
      <c r="C98" s="493" t="s">
        <v>51</v>
      </c>
      <c r="D98" s="490" t="s">
        <v>263</v>
      </c>
      <c r="E98" s="491"/>
      <c r="F98" s="492"/>
    </row>
    <row r="99" spans="1:6" ht="15" thickBot="1" x14ac:dyDescent="0.35">
      <c r="A99" s="485"/>
      <c r="B99" s="487"/>
      <c r="C99" s="489"/>
      <c r="D99" s="170" t="s">
        <v>264</v>
      </c>
      <c r="E99" s="170" t="s">
        <v>265</v>
      </c>
      <c r="F99" s="171" t="s">
        <v>266</v>
      </c>
    </row>
    <row r="100" spans="1:6" ht="15" thickBot="1" x14ac:dyDescent="0.35">
      <c r="A100" s="172">
        <v>701</v>
      </c>
      <c r="B100" s="173" t="s">
        <v>123</v>
      </c>
      <c r="C100" s="174" t="s">
        <v>208</v>
      </c>
      <c r="D100" s="175">
        <v>3000</v>
      </c>
      <c r="E100" s="175">
        <v>1500</v>
      </c>
      <c r="F100" s="175">
        <v>1200</v>
      </c>
    </row>
    <row r="101" spans="1:6" ht="15" thickBot="1" x14ac:dyDescent="0.35">
      <c r="A101" s="172">
        <v>702</v>
      </c>
      <c r="B101" s="173" t="s">
        <v>124</v>
      </c>
      <c r="C101" s="176" t="s">
        <v>208</v>
      </c>
      <c r="D101" s="175">
        <v>3000</v>
      </c>
      <c r="E101" s="175">
        <v>1500</v>
      </c>
      <c r="F101" s="175">
        <v>1200</v>
      </c>
    </row>
    <row r="102" spans="1:6" ht="15" thickBot="1" x14ac:dyDescent="0.35">
      <c r="A102" s="172">
        <v>703</v>
      </c>
      <c r="B102" s="173" t="s">
        <v>125</v>
      </c>
      <c r="C102" s="176" t="s">
        <v>208</v>
      </c>
      <c r="D102" s="175">
        <v>3000</v>
      </c>
      <c r="E102" s="175">
        <v>1500</v>
      </c>
      <c r="F102" s="175">
        <v>1200</v>
      </c>
    </row>
    <row r="103" spans="1:6" ht="15" thickBot="1" x14ac:dyDescent="0.35">
      <c r="A103" s="172">
        <v>704</v>
      </c>
      <c r="B103" s="173" t="s">
        <v>126</v>
      </c>
      <c r="C103" s="176" t="s">
        <v>209</v>
      </c>
      <c r="D103" s="175">
        <v>1500</v>
      </c>
      <c r="E103" s="175">
        <v>1000</v>
      </c>
      <c r="F103" s="177">
        <v>800</v>
      </c>
    </row>
    <row r="104" spans="1:6" ht="15" thickBot="1" x14ac:dyDescent="0.35">
      <c r="A104" s="172">
        <v>705</v>
      </c>
      <c r="B104" s="173" t="s">
        <v>127</v>
      </c>
      <c r="C104" s="176" t="s">
        <v>208</v>
      </c>
      <c r="D104" s="175">
        <v>3000</v>
      </c>
      <c r="E104" s="175">
        <v>1500</v>
      </c>
      <c r="F104" s="175">
        <v>1200</v>
      </c>
    </row>
    <row r="105" spans="1:6" ht="15" thickBot="1" x14ac:dyDescent="0.35">
      <c r="A105" s="172">
        <v>706</v>
      </c>
      <c r="B105" s="173" t="s">
        <v>128</v>
      </c>
      <c r="C105" s="176" t="s">
        <v>209</v>
      </c>
      <c r="D105" s="175">
        <v>1500</v>
      </c>
      <c r="E105" s="175">
        <v>1000</v>
      </c>
      <c r="F105" s="177">
        <v>800</v>
      </c>
    </row>
    <row r="106" spans="1:6" ht="15" thickBot="1" x14ac:dyDescent="0.35">
      <c r="A106" s="172">
        <v>707</v>
      </c>
      <c r="B106" s="173" t="s">
        <v>284</v>
      </c>
      <c r="C106" s="176" t="s">
        <v>208</v>
      </c>
      <c r="D106" s="175">
        <v>3000</v>
      </c>
      <c r="E106" s="175">
        <v>1500</v>
      </c>
      <c r="F106" s="175">
        <v>1200</v>
      </c>
    </row>
    <row r="107" spans="1:6" ht="15" thickBot="1" x14ac:dyDescent="0.35">
      <c r="A107" s="172">
        <v>708</v>
      </c>
      <c r="B107" s="173" t="s">
        <v>130</v>
      </c>
      <c r="C107" s="176" t="s">
        <v>208</v>
      </c>
      <c r="D107" s="175">
        <v>3000</v>
      </c>
      <c r="E107" s="175">
        <v>1500</v>
      </c>
      <c r="F107" s="175">
        <v>1200</v>
      </c>
    </row>
    <row r="108" spans="1:6" ht="15" thickBot="1" x14ac:dyDescent="0.35">
      <c r="A108" s="172">
        <v>709</v>
      </c>
      <c r="B108" s="173" t="s">
        <v>131</v>
      </c>
      <c r="C108" s="176" t="s">
        <v>209</v>
      </c>
      <c r="D108" s="175">
        <v>1500</v>
      </c>
      <c r="E108" s="175">
        <v>1000</v>
      </c>
      <c r="F108" s="177">
        <v>800</v>
      </c>
    </row>
    <row r="109" spans="1:6" ht="15" thickBot="1" x14ac:dyDescent="0.35">
      <c r="A109" s="172">
        <v>710</v>
      </c>
      <c r="B109" s="173" t="s">
        <v>285</v>
      </c>
      <c r="C109" s="176" t="s">
        <v>209</v>
      </c>
      <c r="D109" s="175">
        <v>1500</v>
      </c>
      <c r="E109" s="175">
        <v>1000</v>
      </c>
      <c r="F109" s="177">
        <v>800</v>
      </c>
    </row>
    <row r="110" spans="1:6" ht="15" thickBot="1" x14ac:dyDescent="0.35">
      <c r="A110" s="172">
        <v>711</v>
      </c>
      <c r="B110" s="173" t="s">
        <v>133</v>
      </c>
      <c r="C110" s="176" t="s">
        <v>209</v>
      </c>
      <c r="D110" s="175">
        <v>1500</v>
      </c>
      <c r="E110" s="175">
        <v>1000</v>
      </c>
      <c r="F110" s="177">
        <v>800</v>
      </c>
    </row>
    <row r="111" spans="1:6" ht="15" thickBot="1" x14ac:dyDescent="0.35">
      <c r="A111" s="172">
        <v>712</v>
      </c>
      <c r="B111" s="173" t="s">
        <v>286</v>
      </c>
      <c r="C111" s="176" t="s">
        <v>209</v>
      </c>
      <c r="D111" s="175">
        <v>1500</v>
      </c>
      <c r="E111" s="175">
        <v>1000</v>
      </c>
      <c r="F111" s="177">
        <v>800</v>
      </c>
    </row>
    <row r="112" spans="1:6" ht="15" thickBot="1" x14ac:dyDescent="0.35">
      <c r="A112" s="172">
        <v>713</v>
      </c>
      <c r="B112" s="173" t="s">
        <v>135</v>
      </c>
      <c r="C112" s="176" t="s">
        <v>209</v>
      </c>
      <c r="D112" s="175">
        <v>1500</v>
      </c>
      <c r="E112" s="175">
        <v>1000</v>
      </c>
      <c r="F112" s="177">
        <v>800</v>
      </c>
    </row>
    <row r="113" spans="1:6" ht="15" thickBot="1" x14ac:dyDescent="0.35">
      <c r="A113" s="172">
        <v>714</v>
      </c>
      <c r="B113" s="173" t="s">
        <v>287</v>
      </c>
      <c r="C113" s="176" t="s">
        <v>209</v>
      </c>
      <c r="D113" s="175">
        <v>1500</v>
      </c>
      <c r="E113" s="175">
        <v>1000</v>
      </c>
      <c r="F113" s="177">
        <v>800</v>
      </c>
    </row>
    <row r="114" spans="1:6" ht="15" thickBot="1" x14ac:dyDescent="0.35">
      <c r="A114" s="172">
        <v>715</v>
      </c>
      <c r="B114" s="173" t="s">
        <v>137</v>
      </c>
      <c r="C114" s="176" t="s">
        <v>208</v>
      </c>
      <c r="D114" s="175">
        <v>3000</v>
      </c>
      <c r="E114" s="175">
        <v>1500</v>
      </c>
      <c r="F114" s="175">
        <v>1200</v>
      </c>
    </row>
    <row r="116" spans="1:6" ht="15" thickBot="1" x14ac:dyDescent="0.35"/>
    <row r="117" spans="1:6" ht="26.4" customHeight="1" x14ac:dyDescent="0.3">
      <c r="C117" s="474" t="s">
        <v>40</v>
      </c>
      <c r="D117" s="476" t="s">
        <v>259</v>
      </c>
      <c r="E117" s="477"/>
      <c r="F117" s="478"/>
    </row>
    <row r="118" spans="1:6" ht="15" thickBot="1" x14ac:dyDescent="0.35">
      <c r="A118" s="482" t="s">
        <v>288</v>
      </c>
      <c r="B118" s="483"/>
      <c r="C118" s="495"/>
      <c r="D118" s="479"/>
      <c r="E118" s="480"/>
      <c r="F118" s="481"/>
    </row>
    <row r="119" spans="1:6" x14ac:dyDescent="0.3">
      <c r="A119" s="484" t="s">
        <v>261</v>
      </c>
      <c r="B119" s="486" t="s">
        <v>262</v>
      </c>
      <c r="C119" s="493" t="s">
        <v>51</v>
      </c>
      <c r="D119" s="490" t="s">
        <v>263</v>
      </c>
      <c r="E119" s="491"/>
      <c r="F119" s="492"/>
    </row>
    <row r="120" spans="1:6" ht="15" thickBot="1" x14ac:dyDescent="0.35">
      <c r="A120" s="485"/>
      <c r="B120" s="487"/>
      <c r="C120" s="489"/>
      <c r="D120" s="170" t="s">
        <v>264</v>
      </c>
      <c r="E120" s="170" t="s">
        <v>265</v>
      </c>
      <c r="F120" s="171" t="s">
        <v>266</v>
      </c>
    </row>
    <row r="121" spans="1:6" ht="15" thickBot="1" x14ac:dyDescent="0.35">
      <c r="A121" s="172">
        <v>801</v>
      </c>
      <c r="B121" s="173" t="s">
        <v>138</v>
      </c>
      <c r="C121" s="174" t="s">
        <v>206</v>
      </c>
      <c r="D121" s="175">
        <v>6000</v>
      </c>
      <c r="E121" s="175">
        <v>4500</v>
      </c>
      <c r="F121" s="175">
        <v>3500</v>
      </c>
    </row>
    <row r="122" spans="1:6" ht="15" thickBot="1" x14ac:dyDescent="0.35">
      <c r="A122" s="172">
        <v>802</v>
      </c>
      <c r="B122" s="173" t="s">
        <v>139</v>
      </c>
      <c r="C122" s="176" t="s">
        <v>208</v>
      </c>
      <c r="D122" s="175">
        <v>3000</v>
      </c>
      <c r="E122" s="175">
        <v>1500</v>
      </c>
      <c r="F122" s="175">
        <v>1200</v>
      </c>
    </row>
    <row r="123" spans="1:6" ht="15" thickBot="1" x14ac:dyDescent="0.35">
      <c r="A123" s="172">
        <v>803</v>
      </c>
      <c r="B123" s="173" t="s">
        <v>140</v>
      </c>
      <c r="C123" s="176" t="s">
        <v>208</v>
      </c>
      <c r="D123" s="175">
        <v>3000</v>
      </c>
      <c r="E123" s="175">
        <v>1500</v>
      </c>
      <c r="F123" s="175">
        <v>1200</v>
      </c>
    </row>
    <row r="124" spans="1:6" ht="15" thickBot="1" x14ac:dyDescent="0.35">
      <c r="A124" s="172">
        <v>804</v>
      </c>
      <c r="B124" s="173" t="s">
        <v>141</v>
      </c>
      <c r="C124" s="176" t="s">
        <v>209</v>
      </c>
      <c r="D124" s="175">
        <v>1500</v>
      </c>
      <c r="E124" s="175">
        <v>1000</v>
      </c>
      <c r="F124" s="177">
        <v>800</v>
      </c>
    </row>
    <row r="125" spans="1:6" ht="15" thickBot="1" x14ac:dyDescent="0.35">
      <c r="A125" s="172">
        <v>805</v>
      </c>
      <c r="B125" s="173" t="s">
        <v>142</v>
      </c>
      <c r="C125" s="176" t="s">
        <v>209</v>
      </c>
      <c r="D125" s="175">
        <v>1500</v>
      </c>
      <c r="E125" s="175">
        <v>1000</v>
      </c>
      <c r="F125" s="177">
        <v>800</v>
      </c>
    </row>
    <row r="126" spans="1:6" ht="15" thickBot="1" x14ac:dyDescent="0.35">
      <c r="A126" s="172">
        <v>806</v>
      </c>
      <c r="B126" s="173" t="s">
        <v>143</v>
      </c>
      <c r="C126" s="176" t="s">
        <v>209</v>
      </c>
      <c r="D126" s="175">
        <v>1500</v>
      </c>
      <c r="E126" s="175">
        <v>1000</v>
      </c>
      <c r="F126" s="177">
        <v>800</v>
      </c>
    </row>
    <row r="127" spans="1:6" ht="15" thickBot="1" x14ac:dyDescent="0.35">
      <c r="A127" s="172">
        <v>807</v>
      </c>
      <c r="B127" s="173" t="s">
        <v>144</v>
      </c>
      <c r="C127" s="176" t="s">
        <v>209</v>
      </c>
      <c r="D127" s="175">
        <v>1500</v>
      </c>
      <c r="E127" s="175">
        <v>1000</v>
      </c>
      <c r="F127" s="177">
        <v>800</v>
      </c>
    </row>
    <row r="128" spans="1:6" ht="15" thickBot="1" x14ac:dyDescent="0.35">
      <c r="A128" s="172">
        <v>808</v>
      </c>
      <c r="B128" s="173" t="s">
        <v>145</v>
      </c>
      <c r="C128" s="176" t="s">
        <v>209</v>
      </c>
      <c r="D128" s="175">
        <v>1500</v>
      </c>
      <c r="E128" s="175">
        <v>1000</v>
      </c>
      <c r="F128" s="177">
        <v>800</v>
      </c>
    </row>
  </sheetData>
  <mergeCells count="60">
    <mergeCell ref="I3:I4"/>
    <mergeCell ref="J3:J4"/>
    <mergeCell ref="K3:K4"/>
    <mergeCell ref="L3:N3"/>
    <mergeCell ref="C117:C118"/>
    <mergeCell ref="D117:F118"/>
    <mergeCell ref="C96:C97"/>
    <mergeCell ref="D96:F97"/>
    <mergeCell ref="C82:C83"/>
    <mergeCell ref="D82:F83"/>
    <mergeCell ref="C63:C64"/>
    <mergeCell ref="D63:F64"/>
    <mergeCell ref="C49:C50"/>
    <mergeCell ref="D49:F50"/>
    <mergeCell ref="C34:C35"/>
    <mergeCell ref="D34:F35"/>
    <mergeCell ref="A118:B118"/>
    <mergeCell ref="A119:A120"/>
    <mergeCell ref="B119:B120"/>
    <mergeCell ref="C119:C120"/>
    <mergeCell ref="D119:F119"/>
    <mergeCell ref="A97:B97"/>
    <mergeCell ref="A98:A99"/>
    <mergeCell ref="B98:B99"/>
    <mergeCell ref="C98:C99"/>
    <mergeCell ref="D98:F98"/>
    <mergeCell ref="A83:B83"/>
    <mergeCell ref="A84:A85"/>
    <mergeCell ref="B84:B85"/>
    <mergeCell ref="C84:C85"/>
    <mergeCell ref="D84:F84"/>
    <mergeCell ref="A64:B64"/>
    <mergeCell ref="A65:A66"/>
    <mergeCell ref="B65:B66"/>
    <mergeCell ref="C65:C66"/>
    <mergeCell ref="D65:F65"/>
    <mergeCell ref="A50:B50"/>
    <mergeCell ref="A51:A52"/>
    <mergeCell ref="B51:B52"/>
    <mergeCell ref="C51:C52"/>
    <mergeCell ref="D51:F51"/>
    <mergeCell ref="A35:B35"/>
    <mergeCell ref="A36:A37"/>
    <mergeCell ref="B36:B37"/>
    <mergeCell ref="C36:C37"/>
    <mergeCell ref="D36:F36"/>
    <mergeCell ref="C23:C24"/>
    <mergeCell ref="D23:F24"/>
    <mergeCell ref="A24:B24"/>
    <mergeCell ref="A25:A26"/>
    <mergeCell ref="B25:B26"/>
    <mergeCell ref="C25:C26"/>
    <mergeCell ref="D25:F25"/>
    <mergeCell ref="C1:C2"/>
    <mergeCell ref="D1:F2"/>
    <mergeCell ref="A2:B2"/>
    <mergeCell ref="A3:A4"/>
    <mergeCell ref="B3:B4"/>
    <mergeCell ref="C3:C4"/>
    <mergeCell ref="D3:F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</vt:i4>
      </vt:variant>
      <vt:variant>
        <vt:lpstr>Intervalos com nome</vt:lpstr>
      </vt:variant>
      <vt:variant>
        <vt:i4>11</vt:i4>
      </vt:variant>
    </vt:vector>
  </HeadingPairs>
  <TitlesOfParts>
    <vt:vector size="30" baseType="lpstr">
      <vt:lpstr>1_FAVT_1_Ori</vt:lpstr>
      <vt:lpstr>2_FAVT_2_Alt</vt:lpstr>
      <vt:lpstr>RESUMO</vt:lpstr>
      <vt:lpstr>3_AHV e MU</vt:lpstr>
      <vt:lpstr>3a_AH</vt:lpstr>
      <vt:lpstr>4_AV e MU</vt:lpstr>
      <vt:lpstr>5_ACob e AVer</vt:lpstr>
      <vt:lpstr>6_Estaciona</vt:lpstr>
      <vt:lpstr>x_Cálculo</vt:lpstr>
      <vt:lpstr>y_Cálculo</vt:lpstr>
      <vt:lpstr>z_Cálculo</vt:lpstr>
      <vt:lpstr>Factor1_H</vt:lpstr>
      <vt:lpstr>Factor2_Elev</vt:lpstr>
      <vt:lpstr>Factor3_proporção</vt:lpstr>
      <vt:lpstr>Factor4_Uso</vt:lpstr>
      <vt:lpstr>N_Vistas</vt:lpstr>
      <vt:lpstr>Factor5_infra</vt:lpstr>
      <vt:lpstr>PREÇO BAIRROS</vt:lpstr>
      <vt:lpstr>Folha1</vt:lpstr>
      <vt:lpstr>'1_FAVT_1_Ori'!Área_de_Impressão</vt:lpstr>
      <vt:lpstr>'2_FAVT_2_Alt'!Área_de_Impressão</vt:lpstr>
      <vt:lpstr>'3_AHV e MU'!Área_de_Impressão</vt:lpstr>
      <vt:lpstr>'3a_AH'!Área_de_Impressão</vt:lpstr>
      <vt:lpstr>'4_AV e MU'!Área_de_Impressão</vt:lpstr>
      <vt:lpstr>'5_ACob e AVer'!Área_de_Impressão</vt:lpstr>
      <vt:lpstr>'6_Estaciona'!Área_de_Impressão</vt:lpstr>
      <vt:lpstr>RESUMO!Área_de_Impressão</vt:lpstr>
      <vt:lpstr>x_Cálculo!Área_de_Impressão</vt:lpstr>
      <vt:lpstr>y_Cálculo!Área_de_Impressão</vt:lpstr>
      <vt:lpstr>z_Cálculo!Área_de_Impressão</vt:lpstr>
    </vt:vector>
  </TitlesOfParts>
  <Company>Your Organization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Acer</cp:lastModifiedBy>
  <cp:lastPrinted>2020-01-06T20:11:07Z</cp:lastPrinted>
  <dcterms:created xsi:type="dcterms:W3CDTF">2012-10-16T12:05:05Z</dcterms:created>
  <dcterms:modified xsi:type="dcterms:W3CDTF">2023-01-19T16:28:26Z</dcterms:modified>
</cp:coreProperties>
</file>